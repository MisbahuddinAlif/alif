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83cd6637b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c909e479dcc844ac"/>
    <x:sheet xmlns:r="http://schemas.openxmlformats.org/officeDocument/2006/relationships" name="Instructions" sheetId="2" r:id="Rf8d70bf4c9a54e35"/>
    <x:sheet xmlns:r="http://schemas.openxmlformats.org/officeDocument/2006/relationships" name="Q1 &amp; Q4 - Restaurant Data" sheetId="3" r:id="R0983cbe7f2314675"/>
    <x:sheet xmlns:r="http://schemas.openxmlformats.org/officeDocument/2006/relationships" name="Q2 - Driver Data" sheetId="4" r:id="Rfd463dad9dbf4262"/>
    <x:sheet xmlns:r="http://schemas.openxmlformats.org/officeDocument/2006/relationships" name="Q3 - Restaurants" sheetId="5" r:id="R481555b302d1452b"/>
    <x:sheet xmlns:r="http://schemas.openxmlformats.org/officeDocument/2006/relationships" name="Q3 - Drivers" sheetId="6" r:id="R2215b227d5f3422a"/>
    <x:sheet xmlns:r="http://schemas.openxmlformats.org/officeDocument/2006/relationships" name="Q3 - App Sessions" sheetId="7" r:id="R0cc8c7fdb75e488c"/>
    <x:sheet xmlns:r="http://schemas.openxmlformats.org/officeDocument/2006/relationships" name="Q3 - Orders" sheetId="8" r:id="R6e110a8066134284"/>
    <x:sheet xmlns:r="http://schemas.openxmlformats.org/officeDocument/2006/relationships" name="Q5 - Regional Sales" sheetId="9" r:id="R931587748f7e4499"/>
  </x:sheets>
</x:workbook>
</file>

<file path=xl/sharedStrings.xml><?xml version="1.0" encoding="utf-8"?>
<x:sst xmlns:x="http://schemas.openxmlformats.org/spreadsheetml/2006/main">
  <x:si>
    <x:t xml:space="preserve">MIS 445 – Advanced Spreadsheet and Data Visualizations</x:t>
  </x:si>
  <x:si>
    <x:t xml:space="preserve">Final Examination, Summer 2026 — Score Sheet</x:t>
  </x:si>
  <x:si>
    <x:t xml:space="preserve">Q#</x:t>
  </x:si>
  <x:si>
    <x:t xml:space="preserve">Topic / Tool</x:t>
  </x:si>
  <x:si>
    <x:t xml:space="preserve">Grading Criteria</x:t>
  </x:si>
  <x:si>
    <x:t xml:space="preserve">Allotted
Score</x:t>
  </x:si>
  <x:si>
    <x:t xml:space="preserve">Graded
Score</x:t>
  </x:si>
  <x:si>
    <x:t xml:space="preserve">Excel Data Analysis ToolPak (CLO5)
Restaurant Data</x:t>
  </x:si>
  <x:si>
    <x:t xml:space="preserve">Descriptive Statistics (mean, median, mode, SD, range) for Total_Orders_Generated</x:t>
  </x:si>
  <x:si>
    <x:t xml:space="preserve">Correlation: coefficient + interpretation (Unique_Viewers_Reached vs App_Impressions)</x:t>
  </x:si>
  <x:si>
    <x:t xml:space="preserve">Simple Regression (a): equations for both models + coefficient interpretation</x:t>
  </x:si>
  <x:si>
    <x:t xml:space="preserve">Simple Regression (b): predictions for 700 Engaged_Customers and 9,500 App_Impressions</x:t>
  </x:si>
  <x:si>
    <x:t xml:space="preserve">Simple Regression (c): adjusted R² explanation + better-fitting model identified</x:t>
  </x:si>
  <x:si>
    <x:t xml:space="preserve">Conditional Formatting: top 10% highlight + common-trait note</x:t>
  </x:si>
  <x:si>
    <x:t xml:space="preserve">Subtotal – Question 1</x:t>
  </x:si>
  <x:si>
    <x:t xml:space="preserve">Excel Data Analysis ToolPak (CLO3)
Driver Data</x:t>
  </x:si>
  <x:si>
    <x:t xml:space="preserve">Multiple regression model built (4 IVs) + refined model (insignificant vars removed) + final equation</x:t>
  </x:si>
  <x:si>
    <x:t xml:space="preserve">Interpretation &amp; Analysis: R²/Adj R², Weekly_Deliveries coefficient, removed variable(s) &amp; why, most influential predictor</x:t>
  </x:si>
  <x:si>
    <x:t xml:space="preserve">Subtotal – Question 2</x:t>
  </x:si>
  <x:si>
    <x:t xml:space="preserve">Power BI (CLO4)
Restaurants / Drivers / App Sessions / Orders</x:t>
  </x:si>
  <x:si>
    <x:t xml:space="preserve">Import 4 tables + relationships (Restaurants–Orders, Drivers–Orders, Orders–App Sessions)</x:t>
  </x:si>
  <x:si>
    <x:t xml:space="preserve">Three basic measures: Total Revenue, Total Cost, Total Profit</x:t>
  </x:si>
  <x:si>
    <x:t xml:space="preserve">Average Order Value measure</x:t>
  </x:si>
  <x:si>
    <x:t xml:space="preserve">Session-to-Order Conversion Rate measure</x:t>
  </x:si>
  <x:si>
    <x:t xml:space="preserve">Clustered Bar Chart: Revenue by Restaurant, sorted descending</x:t>
  </x:si>
  <x:si>
    <x:t xml:space="preserve">Pie Chart: % of Total Orders by Device_Type</x:t>
  </x:si>
  <x:si>
    <x:t xml:space="preserve">Marketing Source Matrix: Orders, Conversion Rate, Average Order Value</x:t>
  </x:si>
  <x:si>
    <x:t xml:space="preserve">Detailed breakdown: Total Revenue by Restaurant x Mobile/Desktop</x:t>
  </x:si>
  <x:si>
    <x:t xml:space="preserve">Subtotal – Question 3</x:t>
  </x:si>
  <x:si>
    <x:t xml:space="preserve">T-test: hypotheses, p-value, statistical conclusion + practical significance discussion</x:t>
  </x:si>
  <x:si>
    <x:t xml:space="preserve">F-test: hypotheses, F-statistic &amp; p-value, conclusion on variance consistency</x:t>
  </x:si>
  <x:si>
    <x:t xml:space="preserve">ANOVA: hypotheses, F-statistic &amp; p-value, conclusion + time-slot driving difference + recommendation</x:t>
  </x:si>
  <x:si>
    <x:t xml:space="preserve">Conditional Formatting: 3-color scale on Paid_Ad_Reach + outlier/Restaurant_Type note tied to F-test</x:t>
  </x:si>
  <x:si>
    <x:t xml:space="preserve">Subtotal – Question 4</x:t>
  </x:si>
  <x:si>
    <x:t xml:space="preserve">Power BI (CLO6)
Regional Sales</x:t>
  </x:si>
  <x:si>
    <x:t xml:space="preserve">Profit Margin % by Food_Category + least efficient category identified</x:t>
  </x:si>
  <x:si>
    <x:t xml:space="preserve">Effective Discount Rate calculated column + country with deepest average discount</x:t>
  </x:si>
  <x:si>
    <x:t xml:space="preserve">Small/Medium/Large tiers by Units_Sold + tier generating most total profit</x:t>
  </x:si>
  <x:si>
    <x:t xml:space="preserve">Sales trends grouped by Fiscal Quarter (2024–2025)</x:t>
  </x:si>
  <x:si>
    <x:t xml:space="preserve">Line Chart: Units_Sold vs Profit divergence periods + likely cause (explanation in Excel answer sheet)</x:t>
  </x:si>
  <x:si>
    <x:t xml:space="preserve">Scatter Plot: Sale_Price_USD vs Units_Sold correlation</x:t>
  </x:si>
  <x:si>
    <x:t xml:space="preserve">Subtotal – Question 5</x:t>
  </x:si>
  <x:si>
    <x:t xml:space="preserve">SCORE SUMMARY (Answer any 4 of 5 — best 4 question scores counted)</x:t>
  </x:si>
  <x:si>
    <x:t xml:space="preserve">Q1</x:t>
  </x:si>
  <x:si>
    <x:t xml:space="preserve">Allotted (10 each)</x:t>
  </x:si>
  <x:si>
    <x:t xml:space="preserve">Question 1 subtotal (from table above)</x:t>
  </x:si>
  <x:si>
    <x:t xml:space="preserve">Q2</x:t>
  </x:si>
  <x:si>
    <x:t xml:space="preserve">Question 2 subtotal (from table above)</x:t>
  </x:si>
  <x:si>
    <x:t xml:space="preserve">Q3</x:t>
  </x:si>
  <x:si>
    <x:t xml:space="preserve">Question 3 subtotal (from table above)</x:t>
  </x:si>
  <x:si>
    <x:t xml:space="preserve">Q4</x:t>
  </x:si>
  <x:si>
    <x:t xml:space="preserve">Question 4 subtotal (from table above)</x:t>
  </x:si>
  <x:si>
    <x:t xml:space="preserve">Q5</x:t>
  </x:si>
  <x:si>
    <x:t xml:space="preserve">Question 5 subtotal (from table above)</x:t>
  </x:si>
  <x:si>
    <x:t xml:space="preserve">Best 4 of 5 Questions – Total Score</x:t>
  </x:si>
  <x:si>
    <x:t xml:space="preserve">Final Score (out of 40)</x:t>
  </x:si>
  <x:si>
    <x:t xml:space="preserve">Sheet</x:t>
  </x:si>
  <x:si>
    <x:t xml:space="preserve">Used for</x:t>
  </x:si>
  <x:si>
    <x:t xml:space="preserve">Q1 &amp; Q4 - Restaurant Data</x:t>
  </x:si>
  <x:si>
    <x:t xml:space="preserve">Question 1 (descriptive stats / correlation / regression) and Question 4 (t-test / F-test / ANOVA)</x:t>
  </x:si>
  <x:si>
    <x:t xml:space="preserve">Q2 - Driver Data</x:t>
  </x:si>
  <x:si>
    <x:t xml:space="preserve">Question 2 (multiple regression)</x:t>
  </x:si>
  <x:si>
    <x:t xml:space="preserve">Q3 - Restaurants / Drivers / App Sessions / Orders</x:t>
  </x:si>
  <x:si>
    <x:t xml:space="preserve">Question 3 (Power BI — import all 4 sheets and build relationships)</x:t>
  </x:si>
  <x:si>
    <x:t xml:space="preserve">Q5 - Regional Sales</x:t>
  </x:si>
  <x:si>
    <x:t xml:space="preserve">Question 5 (Power BI, advanced)</x:t>
  </x:si>
  <x:si>
    <x:t xml:space="preserve">Restaurant Marketing &amp; Engagement Data</x:t>
  </x:si>
  <x:si>
    <x:t xml:space="preserve">Restaurant_ID</x:t>
  </x:si>
  <x:si>
    <x:t xml:space="preserve">Restaurant_Type</x:t>
  </x:si>
  <x:si>
    <x:t xml:space="preserve">Time_Slot</x:t>
  </x:si>
  <x:si>
    <x:t xml:space="preserve">Unique_Viewers_Reached</x:t>
  </x:si>
  <x:si>
    <x:t xml:space="preserve">App_Impressions</x:t>
  </x:si>
  <x:si>
    <x:t xml:space="preserve">Engaged_Customers</x:t>
  </x:si>
  <x:si>
    <x:t xml:space="preserve">Total_Orders_Generated</x:t>
  </x:si>
  <x:si>
    <x:t xml:space="preserve">Paid_Ad_Reach</x:t>
  </x:si>
  <x:si>
    <x:t xml:space="preserve">Fast Casual</x:t>
  </x:si>
  <x:si>
    <x:t xml:space="preserve">Evening</x:t>
  </x:si>
  <x:si>
    <x:t xml:space="preserve">Fine Dining</x:t>
  </x:si>
  <x:si>
    <x:t xml:space="preserve">Morning</x:t>
  </x:si>
  <x:si>
    <x:t xml:space="preserve">Afternoon</x:t>
  </x:si>
  <x:si>
    <x:t xml:space="preserve">Late Night</x:t>
  </x:si>
  <x:si>
    <x:t xml:space="preserve">Driver Performance Data</x:t>
  </x:si>
  <x:si>
    <x:t xml:space="preserve">Driver_ID</x:t>
  </x:si>
  <x:si>
    <x:t xml:space="preserve">Years_Experience</x:t>
  </x:si>
  <x:si>
    <x:t xml:space="preserve">Training_Hours</x:t>
  </x:si>
  <x:si>
    <x:t xml:space="preserve">Weekly_Deliveries</x:t>
  </x:si>
  <x:si>
    <x:t xml:space="preserve">Customer_Rating_Score</x:t>
  </x:si>
  <x:si>
    <x:t xml:space="preserve">Monthly_Earnings_USD</x:t>
  </x:si>
  <x:si>
    <x:t xml:space="preserve">Restaurants (dimension table)</x:t>
  </x:si>
  <x:si>
    <x:t xml:space="preserve">Restaurant_Name</x:t>
  </x:si>
  <x:si>
    <x:t xml:space="preserve">Cuisine_Type</x:t>
  </x:si>
  <x:si>
    <x:t xml:space="preserve">City</x:t>
  </x:si>
  <x:si>
    <x:t xml:space="preserve">Bayou Grill</x:t>
  </x:si>
  <x:si>
    <x:t xml:space="preserve">Cajun</x:t>
  </x:si>
  <x:si>
    <x:t xml:space="preserve">Austin</x:t>
  </x:si>
  <x:si>
    <x:t xml:space="preserve">Sakura Ramen House</x:t>
  </x:si>
  <x:si>
    <x:t xml:space="preserve">Japanese</x:t>
  </x:si>
  <x:si>
    <x:t xml:space="preserve">Pasta Nonna</x:t>
  </x:si>
  <x:si>
    <x:t xml:space="preserve">Italian</x:t>
  </x:si>
  <x:si>
    <x:t xml:space="preserve">Denver</x:t>
  </x:si>
  <x:si>
    <x:t xml:space="preserve">Taco Vibe</x:t>
  </x:si>
  <x:si>
    <x:t xml:space="preserve">Mexican</x:t>
  </x:si>
  <x:si>
    <x:t xml:space="preserve">Golden Wok</x:t>
  </x:si>
  <x:si>
    <x:t xml:space="preserve">Chinese</x:t>
  </x:si>
  <x:si>
    <x:t xml:space="preserve">Chicago</x:t>
  </x:si>
  <x:si>
    <x:t xml:space="preserve">The Green Bowl</x:t>
  </x:si>
  <x:si>
    <x:t xml:space="preserve">Vegan</x:t>
  </x:si>
  <x:si>
    <x:t xml:space="preserve">Smokehouse 21</x:t>
  </x:si>
  <x:si>
    <x:t xml:space="preserve">BBQ</x:t>
  </x:si>
  <x:si>
    <x:t xml:space="preserve">Curry Junction</x:t>
  </x:si>
  <x:si>
    <x:t xml:space="preserve">Indian</x:t>
  </x:si>
  <x:si>
    <x:t xml:space="preserve">Blue Fin Sushi</x:t>
  </x:si>
  <x:si>
    <x:t xml:space="preserve">Burger Forge</x:t>
  </x:si>
  <x:si>
    <x:t xml:space="preserve">American</x:t>
  </x:si>
  <x:si>
    <x:t xml:space="preserve">Drivers (dimension table)</x:t>
  </x:si>
  <x:si>
    <x:t xml:space="preserve">Driver_Name</x:t>
  </x:si>
  <x:si>
    <x:t xml:space="preserve">Vehicle_Type</x:t>
  </x:si>
  <x:si>
    <x:t xml:space="preserve">M. Alvarez</x:t>
  </x:si>
  <x:si>
    <x:t xml:space="preserve">Car</x:t>
  </x:si>
  <x:si>
    <x:t xml:space="preserve">J. Chen</x:t>
  </x:si>
  <x:si>
    <x:t xml:space="preserve">R. Patel</x:t>
  </x:si>
  <x:si>
    <x:t xml:space="preserve">Bike</x:t>
  </x:si>
  <x:si>
    <x:t xml:space="preserve">K. Johnson</x:t>
  </x:si>
  <x:si>
    <x:t xml:space="preserve">Scooter</x:t>
  </x:si>
  <x:si>
    <x:t xml:space="preserve">S. Novak</x:t>
  </x:si>
  <x:si>
    <x:t xml:space="preserve">T. Reyes</x:t>
  </x:si>
  <x:si>
    <x:t xml:space="preserve">A. Kim</x:t>
  </x:si>
  <x:si>
    <x:t xml:space="preserve">D. Brooks</x:t>
  </x:si>
  <x:si>
    <x:t xml:space="preserve">L. Fischer</x:t>
  </x:si>
  <x:si>
    <x:t xml:space="preserve">N. Osei</x:t>
  </x:si>
  <x:si>
    <x:t xml:space="preserve">P. Dubois</x:t>
  </x:si>
  <x:si>
    <x:t xml:space="preserve">H. Nguyen</x:t>
  </x:si>
  <x:si>
    <x:t xml:space="preserve">App Sessions (dimension table)</x:t>
  </x:si>
  <x:si>
    <x:t xml:space="preserve">Session_ID</x:t>
  </x:si>
  <x:si>
    <x:t xml:space="preserve">Session_Date</x:t>
  </x:si>
  <x:si>
    <x:t xml:space="preserve">Device_Type</x:t>
  </x:si>
  <x:si>
    <x:t xml:space="preserve">utm_source</x:t>
  </x:si>
  <x:si>
    <x:t xml:space="preserve">utm_campaign</x:t>
  </x:si>
  <x:si>
    <x:t xml:space="preserve">2026-05-30</x:t>
  </x:si>
  <x:si>
    <x:t xml:space="preserve">Mobile</x:t>
  </x:si>
  <x:si>
    <x:t xml:space="preserve">Google</x:t>
  </x:si>
  <x:si>
    <x:t xml:space="preserve">Search_Generic</x:t>
  </x:si>
  <x:si>
    <x:t xml:space="preserve">2026-02-02</x:t>
  </x:si>
  <x:si>
    <x:t xml:space="preserve">Desktop</x:t>
  </x:si>
  <x:si>
    <x:t xml:space="preserve">Email</x:t>
  </x:si>
  <x:si>
    <x:t xml:space="preserve">Winback_Offer</x:t>
  </x:si>
  <x:si>
    <x:t xml:space="preserve">2026-01-28</x:t>
  </x:si>
  <x:si>
    <x:t xml:space="preserve">Direct</x:t>
  </x:si>
  <x:si>
    <x:t xml:space="preserve">Direct_None</x:t>
  </x:si>
  <x:si>
    <x:t xml:space="preserve">2026-03-06</x:t>
  </x:si>
  <x:si>
    <x:t xml:space="preserve">Loyalty_Newsletter</x:t>
  </x:si>
  <x:si>
    <x:t xml:space="preserve">2026-05-24</x:t>
  </x:si>
  <x:si>
    <x:t xml:space="preserve">2026-05-09</x:t>
  </x:si>
  <x:si>
    <x:t xml:space="preserve">2026-04-29</x:t>
  </x:si>
  <x:si>
    <x:t xml:space="preserve">2026-04-21</x:t>
  </x:si>
  <x:si>
    <x:t xml:space="preserve">Search_Brand</x:t>
  </x:si>
  <x:si>
    <x:t xml:space="preserve">2026-01-24</x:t>
  </x:si>
  <x:si>
    <x:t xml:space="preserve">Instagram</x:t>
  </x:si>
  <x:si>
    <x:t xml:space="preserve">Influencer_Promo</x:t>
  </x:si>
  <x:si>
    <x:t xml:space="preserve">2026-01-23</x:t>
  </x:si>
  <x:si>
    <x:t xml:space="preserve">2026-03-16</x:t>
  </x:si>
  <x:si>
    <x:t xml:space="preserve">2026-01-11</x:t>
  </x:si>
  <x:si>
    <x:t xml:space="preserve">Story_Ads</x:t>
  </x:si>
  <x:si>
    <x:t xml:space="preserve">2026-03-20</x:t>
  </x:si>
  <x:si>
    <x:t xml:space="preserve">2026-05-18</x:t>
  </x:si>
  <x:si>
    <x:t xml:space="preserve">2026-05-15</x:t>
  </x:si>
  <x:si>
    <x:t xml:space="preserve">2026-05-19</x:t>
  </x:si>
  <x:si>
    <x:t xml:space="preserve">2026-01-27</x:t>
  </x:si>
  <x:si>
    <x:t xml:space="preserve">2026-02-18</x:t>
  </x:si>
  <x:si>
    <x:t xml:space="preserve">2026-02-26</x:t>
  </x:si>
  <x:si>
    <x:t xml:space="preserve">2026-04-20</x:t>
  </x:si>
  <x:si>
    <x:t xml:space="preserve">2026-04-18</x:t>
  </x:si>
  <x:si>
    <x:t xml:space="preserve">2026-04-01</x:t>
  </x:si>
  <x:si>
    <x:t xml:space="preserve">2026-01-15</x:t>
  </x:si>
  <x:si>
    <x:t xml:space="preserve">2026-02-22</x:t>
  </x:si>
  <x:si>
    <x:t xml:space="preserve">2026-05-16</x:t>
  </x:si>
  <x:si>
    <x:t xml:space="preserve">2026-02-07</x:t>
  </x:si>
  <x:si>
    <x:t xml:space="preserve">2026-03-31</x:t>
  </x:si>
  <x:si>
    <x:t xml:space="preserve">2026-02-19</x:t>
  </x:si>
  <x:si>
    <x:t xml:space="preserve">2026-02-01</x:t>
  </x:si>
  <x:si>
    <x:t xml:space="preserve">2026-02-21</x:t>
  </x:si>
  <x:si>
    <x:t xml:space="preserve">2026-04-25</x:t>
  </x:si>
  <x:si>
    <x:t xml:space="preserve">2026-05-28</x:t>
  </x:si>
  <x:si>
    <x:t xml:space="preserve">2026-04-09</x:t>
  </x:si>
  <x:si>
    <x:t xml:space="preserve">2026-04-06</x:t>
  </x:si>
  <x:si>
    <x:t xml:space="preserve">2026-03-03</x:t>
  </x:si>
  <x:si>
    <x:t xml:space="preserve">2026-01-26</x:t>
  </x:si>
  <x:si>
    <x:t xml:space="preserve">2026-02-08</x:t>
  </x:si>
  <x:si>
    <x:t xml:space="preserve">2026-02-12</x:t>
  </x:si>
  <x:si>
    <x:t xml:space="preserve">2026-01-17</x:t>
  </x:si>
  <x:si>
    <x:t xml:space="preserve">2026-05-06</x:t>
  </x:si>
  <x:si>
    <x:t xml:space="preserve">2026-05-22</x:t>
  </x:si>
  <x:si>
    <x:t xml:space="preserve">2026-02-17</x:t>
  </x:si>
  <x:si>
    <x:t xml:space="preserve">2026-04-12</x:t>
  </x:si>
  <x:si>
    <x:t xml:space="preserve">2026-02-04</x:t>
  </x:si>
  <x:si>
    <x:t xml:space="preserve">2026-03-30</x:t>
  </x:si>
  <x:si>
    <x:t xml:space="preserve">2026-04-23</x:t>
  </x:si>
  <x:si>
    <x:t xml:space="preserve">2026-01-31</x:t>
  </x:si>
  <x:si>
    <x:t xml:space="preserve">2026-01-05</x:t>
  </x:si>
  <x:si>
    <x:t xml:space="preserve">2026-04-13</x:t>
  </x:si>
  <x:si>
    <x:t xml:space="preserve">2026-02-15</x:t>
  </x:si>
  <x:si>
    <x:t xml:space="preserve">2026-05-02</x:t>
  </x:si>
  <x:si>
    <x:t xml:space="preserve">2026-05-07</x:t>
  </x:si>
  <x:si>
    <x:t xml:space="preserve">2026-03-09</x:t>
  </x:si>
  <x:si>
    <x:t xml:space="preserve">2026-01-14</x:t>
  </x:si>
  <x:si>
    <x:t xml:space="preserve">2026-04-11</x:t>
  </x:si>
  <x:si>
    <x:t xml:space="preserve">2026-03-26</x:t>
  </x:si>
  <x:si>
    <x:t xml:space="preserve">2026-03-24</x:t>
  </x:si>
  <x:si>
    <x:t xml:space="preserve">2026-02-27</x:t>
  </x:si>
  <x:si>
    <x:t xml:space="preserve">2026-01-12</x:t>
  </x:si>
  <x:si>
    <x:t xml:space="preserve">2026-01-01</x:t>
  </x:si>
  <x:si>
    <x:t xml:space="preserve">2026-05-26</x:t>
  </x:si>
  <x:si>
    <x:t xml:space="preserve">2026-02-03</x:t>
  </x:si>
  <x:si>
    <x:t xml:space="preserve">2026-02-25</x:t>
  </x:si>
  <x:si>
    <x:t xml:space="preserve">2026-01-16</x:t>
  </x:si>
  <x:si>
    <x:t xml:space="preserve">2026-02-13</x:t>
  </x:si>
  <x:si>
    <x:t xml:space="preserve">2026-03-07</x:t>
  </x:si>
  <x:si>
    <x:t xml:space="preserve">2026-05-17</x:t>
  </x:si>
  <x:si>
    <x:t xml:space="preserve">2026-03-21</x:t>
  </x:si>
  <x:si>
    <x:t xml:space="preserve">2026-05-12</x:t>
  </x:si>
  <x:si>
    <x:t xml:space="preserve">2026-04-19</x:t>
  </x:si>
  <x:si>
    <x:t xml:space="preserve">2026-01-20</x:t>
  </x:si>
  <x:si>
    <x:t xml:space="preserve">2026-04-26</x:t>
  </x:si>
  <x:si>
    <x:t xml:space="preserve">2026-03-04</x:t>
  </x:si>
  <x:si>
    <x:t xml:space="preserve">2026-02-14</x:t>
  </x:si>
  <x:si>
    <x:t xml:space="preserve">2026-03-25</x:t>
  </x:si>
  <x:si>
    <x:t xml:space="preserve">2026-03-29</x:t>
  </x:si>
  <x:si>
    <x:t xml:space="preserve">2026-04-27</x:t>
  </x:si>
  <x:si>
    <x:t xml:space="preserve">2026-01-30</x:t>
  </x:si>
  <x:si>
    <x:t xml:space="preserve">Orders (fact table)</x:t>
  </x:si>
  <x:si>
    <x:t xml:space="preserve">Order_ID</x:t>
  </x:si>
  <x:si>
    <x:t xml:space="preserve">Order_Date</x:t>
  </x:si>
  <x:si>
    <x:t xml:space="preserve">Order_Amount_USD</x:t>
  </x:si>
  <x:si>
    <x:t xml:space="preserve">Delivery_Cost_USD</x:t>
  </x:si>
  <x:si>
    <x:t xml:space="preserve">Regional Sales Data</x:t>
  </x:si>
  <x:si>
    <x:t xml:space="preserve">Country</x:t>
  </x:si>
  <x:si>
    <x:t xml:space="preserve">Food_Category</x:t>
  </x:si>
  <x:si>
    <x:t xml:space="preserve">Units_Sold</x:t>
  </x:si>
  <x:si>
    <x:t xml:space="preserve">Sale_Price_USD</x:t>
  </x:si>
  <x:si>
    <x:t xml:space="preserve">Gross_Sales_USD</x:t>
  </x:si>
  <x:si>
    <x:t xml:space="preserve">Discounts_USD</x:t>
  </x:si>
  <x:si>
    <x:t xml:space="preserve">COGS_USD</x:t>
  </x:si>
  <x:si>
    <x:t xml:space="preserve">Profit_USD</x:t>
  </x:si>
  <x:si>
    <x:t xml:space="preserve">United States</x:t>
  </x:si>
  <x:si>
    <x:t xml:space="preserve">Burgers &amp; Sandwiches</x:t>
  </x:si>
  <x:si>
    <x:t xml:space="preserve">2025-02-21</x:t>
  </x:si>
  <x:si>
    <x:t xml:space="preserve">Healthy Bowls</x:t>
  </x:si>
  <x:si>
    <x:t xml:space="preserve">2024-12-25</x:t>
  </x:si>
  <x:si>
    <x:t xml:space="preserve">United Kingdom</x:t>
  </x:si>
  <x:si>
    <x:t xml:space="preserve">2024-12-19</x:t>
  </x:si>
  <x:si>
    <x:t xml:space="preserve">Desserts &amp; Drinks</x:t>
  </x:si>
  <x:si>
    <x:t xml:space="preserve">2024-08-06</x:t>
  </x:si>
  <x:si>
    <x:t xml:space="preserve">India</x:t>
  </x:si>
  <x:si>
    <x:t xml:space="preserve">2025-03-29</x:t>
  </x:si>
  <x:si>
    <x:t xml:space="preserve">2024-12-18</x:t>
  </x:si>
  <x:si>
    <x:t xml:space="preserve">Brazil</x:t>
  </x:si>
  <x:si>
    <x:t xml:space="preserve">2024-04-13</x:t>
  </x:si>
  <x:si>
    <x:t xml:space="preserve">2025-09-13</x:t>
  </x:si>
  <x:si>
    <x:t xml:space="preserve">2024-03-04</x:t>
  </x:si>
  <x:si>
    <x:t xml:space="preserve">Germany</x:t>
  </x:si>
  <x:si>
    <x:t xml:space="preserve">2024-02-08</x:t>
  </x:si>
  <x:si>
    <x:t xml:space="preserve">Asian Cuisine</x:t>
  </x:si>
  <x:si>
    <x:t xml:space="preserve">2024-04-06</x:t>
  </x:si>
  <x:si>
    <x:t xml:space="preserve">2024-11-03</x:t>
  </x:si>
  <x:si>
    <x:t xml:space="preserve">2025-01-25</x:t>
  </x:si>
  <x:si>
    <x:t xml:space="preserve">Canada</x:t>
  </x:si>
  <x:si>
    <x:t xml:space="preserve">2024-04-22</x:t>
  </x:si>
  <x:si>
    <x:t xml:space="preserve">Pizza &amp; Italian</x:t>
  </x:si>
  <x:si>
    <x:t xml:space="preserve">2025-03-10</x:t>
  </x:si>
  <x:si>
    <x:t xml:space="preserve">2025-06-05</x:t>
  </x:si>
  <x:si>
    <x:t xml:space="preserve">2024-03-05</x:t>
  </x:si>
  <x:si>
    <x:t xml:space="preserve">2025-01-29</x:t>
  </x:si>
  <x:si>
    <x:t xml:space="preserve">2024-02-21</x:t>
  </x:si>
  <x:si>
    <x:t xml:space="preserve">2025-11-13</x:t>
  </x:si>
  <x:si>
    <x:t xml:space="preserve">2025-05-14</x:t>
  </x:si>
  <x:si>
    <x:t xml:space="preserve">2025-05-05</x:t>
  </x:si>
  <x:si>
    <x:t xml:space="preserve">2024-02-15</x:t>
  </x:si>
  <x:si>
    <x:t xml:space="preserve">2025-03-24</x:t>
  </x:si>
  <x:si>
    <x:t xml:space="preserve">2024-03-21</x:t>
  </x:si>
  <x:si>
    <x:t xml:space="preserve">2024-03-27</x:t>
  </x:si>
  <x:si>
    <x:t xml:space="preserve">2025-12-04</x:t>
  </x:si>
  <x:si>
    <x:t xml:space="preserve">2024-01-03</x:t>
  </x:si>
  <x:si>
    <x:t xml:space="preserve">2024-03-30</x:t>
  </x:si>
  <x:si>
    <x:t xml:space="preserve">2025-12-29</x:t>
  </x:si>
  <x:si>
    <x:t xml:space="preserve">2024-12-23</x:t>
  </x:si>
  <x:si>
    <x:t xml:space="preserve">2024-09-09</x:t>
  </x:si>
  <x:si>
    <x:t xml:space="preserve">2024-02-26</x:t>
  </x:si>
  <x:si>
    <x:t xml:space="preserve">2024-06-11</x:t>
  </x:si>
  <x:si>
    <x:t xml:space="preserve">2024-05-29</x:t>
  </x:si>
  <x:si>
    <x:t xml:space="preserve">2024-06-06</x:t>
  </x:si>
  <x:si>
    <x:t xml:space="preserve">2025-04-03</x:t>
  </x:si>
  <x:si>
    <x:t xml:space="preserve">2024-06-07</x:t>
  </x:si>
  <x:si>
    <x:t xml:space="preserve">2024-08-15</x:t>
  </x:si>
  <x:si>
    <x:t xml:space="preserve">2025-02-06</x:t>
  </x:si>
  <x:si>
    <x:t xml:space="preserve">2024-08-03</x:t>
  </x:si>
  <x:si>
    <x:t xml:space="preserve">2025-02-11</x:t>
  </x:si>
  <x:si>
    <x:t xml:space="preserve">2025-08-26</x:t>
  </x:si>
  <x:si>
    <x:t xml:space="preserve">2025-11-27</x:t>
  </x:si>
  <x:si>
    <x:t xml:space="preserve">2024-12-01</x:t>
  </x:si>
  <x:si>
    <x:t xml:space="preserve">2024-10-06</x:t>
  </x:si>
  <x:si>
    <x:t xml:space="preserve">2024-05-22</x:t>
  </x:si>
  <x:si>
    <x:t xml:space="preserve">2024-05-24</x:t>
  </x:si>
  <x:si>
    <x:t xml:space="preserve">2024-11-26</x:t>
  </x:si>
  <x:si>
    <x:t xml:space="preserve">2025-08-28</x:t>
  </x:si>
  <x:si>
    <x:t xml:space="preserve">2024-09-30</x:t>
  </x:si>
  <x:si>
    <x:t xml:space="preserve">2025-04-01</x:t>
  </x:si>
  <x:si>
    <x:t xml:space="preserve">2025-11-28</x:t>
  </x:si>
  <x:si>
    <x:t xml:space="preserve">2025-10-18</x:t>
  </x:si>
  <x:si>
    <x:t xml:space="preserve">2024-09-13</x:t>
  </x:si>
  <x:si>
    <x:t xml:space="preserve">2025-05-06</x:t>
  </x:si>
  <x:si>
    <x:t xml:space="preserve">2025-10-02</x:t>
  </x:si>
  <x:si>
    <x:t xml:space="preserve">2024-04-07</x:t>
  </x:si>
  <x:si>
    <x:t xml:space="preserve">2025-05-09</x:t>
  </x:si>
  <x:si>
    <x:t xml:space="preserve">2025-10-05</x:t>
  </x:si>
  <x:si>
    <x:t xml:space="preserve">2025-08-01</x:t>
  </x:si>
  <x:si>
    <x:t xml:space="preserve">2024-01-14</x:t>
  </x:si>
  <x:si>
    <x:t xml:space="preserve">2025-08-02</x:t>
  </x:si>
  <x:si>
    <x:t xml:space="preserve">2024-03-19</x:t>
  </x:si>
  <x:si>
    <x:t xml:space="preserve">2024-02-12</x:t>
  </x:si>
  <x:si>
    <x:t xml:space="preserve">2025-02-03</x:t>
  </x:si>
  <x:si>
    <x:t xml:space="preserve">2024-01-06</x:t>
  </x:si>
  <x:si>
    <x:t xml:space="preserve">2025-11-10</x:t>
  </x:si>
  <x:si>
    <x:t xml:space="preserve">2024-08-16</x:t>
  </x:si>
  <x:si>
    <x:t xml:space="preserve">2024-05-13</x:t>
  </x:si>
  <x:si>
    <x:t xml:space="preserve">2024-02-17</x:t>
  </x:si>
  <x:si>
    <x:t xml:space="preserve">2024-07-14</x:t>
  </x:si>
  <x:si>
    <x:t xml:space="preserve">2024-01-20</x:t>
  </x:si>
  <x:si>
    <x:t xml:space="preserve">2025-06-30</x:t>
  </x:si>
  <x:si>
    <x:t xml:space="preserve">2025-03-21</x:t>
  </x:si>
  <x:si>
    <x:t xml:space="preserve">2025-03-18</x:t>
  </x:si>
  <x:si>
    <x:t xml:space="preserve">2024-11-12</x:t>
  </x:si>
  <x:si>
    <x:t xml:space="preserve">2025-01-27</x:t>
  </x:si>
  <x:si>
    <x:t xml:space="preserve">2024-11-13</x:t>
  </x:si>
  <x:si>
    <x:t xml:space="preserve">2025-07-15</x:t>
  </x:si>
  <x:si>
    <x:t xml:space="preserve">2024-08-17</x:t>
  </x:si>
  <x:si>
    <x:t xml:space="preserve">2024-01-12</x:t>
  </x:si>
  <x:si>
    <x:t xml:space="preserve">2024-04-08</x:t>
  </x:si>
  <x:si>
    <x:t xml:space="preserve">2024-08-27</x:t>
  </x:si>
  <x:si>
    <x:t xml:space="preserve">2025-05-20</x:t>
  </x:si>
  <x:si>
    <x:t xml:space="preserve">2025-06-01</x:t>
  </x:si>
  <x:si>
    <x:t xml:space="preserve">2025-12-10</x:t>
  </x:si>
  <x:si>
    <x:t xml:space="preserve">2025-11-11</x:t>
  </x:si>
  <x:si>
    <x:t xml:space="preserve">2025-07-11</x:t>
  </x:si>
  <x:si>
    <x:t xml:space="preserve">2024-05-11</x:t>
  </x:si>
  <x:si>
    <x:t xml:space="preserve">2024-12-09</x:t>
  </x:si>
  <x:si>
    <x:t xml:space="preserve">2024-09-17</x:t>
  </x:si>
  <x:si>
    <x:t xml:space="preserve">2025-06-12</x:t>
  </x:si>
  <x:si>
    <x:t xml:space="preserve">2025-04-14</x:t>
  </x:si>
  <x:si>
    <x:t xml:space="preserve">2024-12-14</x:t>
  </x:si>
  <x:si>
    <x:t xml:space="preserve">2025-10-21</x:t>
  </x:si>
  <x:si>
    <x:t xml:space="preserve">2024-11-25</x:t>
  </x:si>
  <x:si>
    <x:t xml:space="preserve">2025-09-07</x:t>
  </x:si>
  <x:si>
    <x:t xml:space="preserve">2025-12-15</x:t>
  </x:si>
  <x:si>
    <x:t xml:space="preserve">2025-04-05</x:t>
  </x:si>
  <x:si>
    <x:t xml:space="preserve">2025-06-26</x:t>
  </x:si>
  <x:si>
    <x:t xml:space="preserve">2025-06-07</x:t>
  </x:si>
  <x:si>
    <x:t xml:space="preserve">2024-11-11</x:t>
  </x:si>
  <x:si>
    <x:t xml:space="preserve">2024-06-18</x:t>
  </x:si>
  <x:si>
    <x:t xml:space="preserve">2024-07-23</x:t>
  </x:si>
  <x:si>
    <x:t xml:space="preserve">2024-01-26</x:t>
  </x:si>
  <x:si>
    <x:t xml:space="preserve">2025-03-31</x:t>
  </x:si>
  <x:si>
    <x:t xml:space="preserve">2024-10-04</x:t>
  </x:si>
  <x:si>
    <x:t xml:space="preserve">2024-09-03</x:t>
  </x:si>
  <x:si>
    <x:t xml:space="preserve">2025-02-20</x:t>
  </x:si>
  <x:si>
    <x:t xml:space="preserve">2025-02-04</x:t>
  </x:si>
  <x:si>
    <x:t xml:space="preserve">2024-09-22</x:t>
  </x:si>
  <x:si>
    <x:t xml:space="preserve">2025-03-15</x:t>
  </x:si>
  <x:si>
    <x:t xml:space="preserve">2024-01-30</x:t>
  </x:si>
  <x:si>
    <x:t xml:space="preserve">2024-02-05</x:t>
  </x:si>
  <x:si>
    <x:t xml:space="preserve">2024-08-04</x:t>
  </x:si>
  <x:si>
    <x:t xml:space="preserve">2024-08-07</x:t>
  </x:si>
  <x:si>
    <x:t xml:space="preserve">2025-01-01</x:t>
  </x:si>
  <x:si>
    <x:t xml:space="preserve">2025-12-07</x:t>
  </x:si>
  <x:si>
    <x:t xml:space="preserve">2024-10-21</x:t>
  </x:si>
  <x:si>
    <x:t xml:space="preserve">2025-04-09</x:t>
  </x:si>
  <x:si>
    <x:t xml:space="preserve">2024-10-15</x:t>
  </x:si>
  <x:si>
    <x:t xml:space="preserve">2024-07-12</x:t>
  </x:si>
  <x:si>
    <x:t xml:space="preserve">2024-02-13</x:t>
  </x:si>
  <x:si>
    <x:t xml:space="preserve">2024-06-29</x:t>
  </x:si>
  <x:si>
    <x:t xml:space="preserve">2024-08-12</x:t>
  </x:si>
  <x:si>
    <x:t xml:space="preserve">2024-04-14</x:t>
  </x:si>
  <x:si>
    <x:t xml:space="preserve">2025-03-12</x:t>
  </x:si>
  <x:si>
    <x:t xml:space="preserve">2024-11-23</x:t>
  </x:si>
  <x:si>
    <x:t xml:space="preserve">2025-01-21</x:t>
  </x:si>
  <x:si>
    <x:t xml:space="preserve">2024-08-21</x:t>
  </x:si>
  <x:si>
    <x:t xml:space="preserve">2025-01-24</x:t>
  </x:si>
  <x:si>
    <x:t xml:space="preserve">2024-09-07</x:t>
  </x:si>
  <x:si>
    <x:t xml:space="preserve">2024-10-10</x:t>
  </x:si>
  <x:si>
    <x:t xml:space="preserve">2024-09-12</x:t>
  </x:si>
  <x:si>
    <x:t xml:space="preserve">2024-12-27</x:t>
  </x:si>
</x:sst>
</file>

<file path=xl/styles.xml><?xml version="1.0" encoding="utf-8"?>
<x:styleSheet xmlns:x="http://schemas.openxmlformats.org/spreadsheetml/2006/main">
  <x:numFmts count="1">
    <x:numFmt numFmtId="164" formatCode="\$#,##0.00"/>
  </x:numFmts>
  <x:fonts count="12">
    <x:font>
      <x:sz val="11"/>
      <x:color theme="1"/>
      <x:name val="Calibri"/>
    </x:font>
    <x:font>
      <x:b/>
      <x:sz val="15"/>
      <x:color theme="1"/>
      <x:name val="Times New Roman"/>
    </x:font>
    <x:font>
      <x:b/>
      <x:sz val="13"/>
      <x:color rgb="FF1F4E78"/>
      <x:name val="Arial"/>
    </x:font>
    <x:font>
      <x:b/>
      <x:sz val="16"/>
      <x:color rgb="FFFFFFFF"/>
      <x:name val="Arial"/>
    </x:font>
    <x:font>
      <x:sz val="12"/>
      <x:color theme="1"/>
      <x:name val="Times New Roman"/>
    </x:font>
    <x:font/>
    <x:font>
      <x:b/>
      <x:sz val="11"/>
      <x:color theme="1"/>
      <x:name val="Arial"/>
    </x:font>
    <x:font>
      <x:sz val="11"/>
      <x:color theme="1"/>
      <x:name val="Calibri"/>
    </x:font>
    <x:font>
      <x:sz val="10"/>
      <x:color theme="1"/>
      <x:name val="Arial"/>
    </x:font>
    <x:font>
      <x:b/>
      <x:sz val="12"/>
      <x:color rgb="FFFFFFFF"/>
      <x:name val="Arial"/>
    </x:font>
    <x:font>
      <x:b/>
      <x:sz val="10"/>
      <x:color rgb="FFFFFFFF"/>
      <x:name val="Arial"/>
    </x:font>
    <x:font>
      <x:b/>
      <x:sz val="10"/>
      <x:color theme="1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F4B083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E699"/>
      </x:patternFill>
    </x:fill>
  </x:fills>
  <x:borders count="9">
    <x:border/>
    <x:border/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29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/>
    </x:xf>
    <x:xf numFmtId="0" fontId="2" fillId="0" borderId="0" xfId="0" applyFont="1"/>
    <x:xf numFmtId="0" fontId="3" fillId="2" borderId="1" xfId="0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0" borderId="2" xfId="0" applyFont="1" applyBorder="1"/>
    <x:xf numFmtId="0" fontId="6" fillId="3" borderId="3" xfId="0" applyFont="1" applyFill="1" applyBorder="1" applyAlignment="1">
      <x:alignment horizontal="center" vertical="center" wrapText="1"/>
    </x:xf>
    <x:xf numFmtId="0" fontId="5" fillId="0" borderId="4" xfId="0" applyFont="1" applyBorder="1"/>
    <x:xf numFmtId="0" fontId="7" fillId="0" borderId="0" xfId="0" applyFont="1"/>
    <x:xf numFmtId="0" fontId="6" fillId="3" borderId="5" xfId="0" applyFont="1" applyFill="1" applyBorder="1"/>
    <x:xf numFmtId="3" fontId="8" fillId="0" borderId="3" xfId="0" applyNumberFormat="1" applyFont="1" applyBorder="1"/>
    <x:xf numFmtId="0" fontId="8" fillId="0" borderId="5" xfId="0" applyFont="1" applyBorder="1"/>
    <x:xf numFmtId="0" fontId="9" fillId="2" borderId="1" xfId="0" applyFont="1" applyFill="1" applyBorder="1" applyAlignment="1">
      <x:alignment horizontal="center" vertical="center"/>
    </x:xf>
    <x:xf numFmtId="0" fontId="8" fillId="0" borderId="3" xfId="0" applyFont="1" applyBorder="1"/>
    <x:xf numFmtId="0" fontId="10" fillId="2" borderId="3" xfId="0" applyFont="1" applyFill="1" applyBorder="1" applyAlignment="1">
      <x:alignment horizontal="center" vertical="center" wrapText="1"/>
    </x:xf>
    <x:xf numFmtId="0" fontId="8" fillId="4" borderId="3" xfId="0" applyFont="1" applyFill="1" applyBorder="1" applyAlignment="1">
      <x:alignment horizontal="left" vertical="center" wrapText="1"/>
    </x:xf>
    <x:xf numFmtId="0" fontId="8" fillId="5" borderId="3" xfId="0" applyFont="1" applyFill="1" applyBorder="1" applyAlignment="1">
      <x:alignment horizontal="left" vertical="center" wrapText="1"/>
    </x:xf>
    <x:xf numFmtId="0" fontId="8" fillId="6" borderId="3" xfId="0" applyFont="1" applyFill="1" applyBorder="1" applyAlignment="1">
      <x:alignment horizontal="left" vertical="center" wrapText="1"/>
    </x:xf>
    <x:xf numFmtId="0" fontId="7" fillId="4" borderId="3" xfId="0" applyFont="1" applyFill="1" applyBorder="1"/>
    <x:xf numFmtId="0" fontId="11" fillId="4" borderId="3" xfId="0" applyFont="1" applyFill="1" applyBorder="1"/>
    <x:xf numFmtId="0" fontId="11" fillId="4" borderId="3" xfId="0" applyFont="1" applyFill="1" applyBorder="1" applyAlignment="1">
      <x:alignment horizontal="center"/>
    </x:xf>
    <x:xf numFmtId="0" fontId="10" fillId="2" borderId="6" xfId="0" applyFont="1" applyFill="1" applyBorder="1"/>
    <x:xf numFmtId="0" fontId="5" fillId="0" borderId="7" xfId="0" applyFont="1" applyBorder="1"/>
    <x:xf numFmtId="0" fontId="5" fillId="0" borderId="8" xfId="0" applyFont="1" applyBorder="1"/>
    <x:xf numFmtId="0" fontId="7" fillId="2" borderId="3" xfId="0" applyFont="1" applyFill="1" applyBorder="1"/>
    <x:xf numFmtId="0" fontId="8" fillId="0" borderId="3" xfId="0" applyFont="1" applyBorder="1" applyAlignment="1">
      <x:alignment horizontal="left" vertical="center"/>
    </x:xf>
    <x:xf numFmtId="0" fontId="11" fillId="7" borderId="6" xfId="0" applyFont="1" applyFill="1" applyBorder="1" applyAlignment="1">
      <x:alignment horizontal="left" vertical="center"/>
    </x:xf>
    <x:xf numFmtId="0" fontId="11" fillId="7" borderId="3" xfId="0" applyFont="1" applyFill="1" applyBorder="1" applyAlignment="1">
      <x:alignment horizontal="center" vertical="center"/>
    </x:xf>
    <x:xf numFmtId="164" fontId="8" fillId="0" borderId="3" xfId="0" applyNumberFormat="1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f0b60baa84d3d" /><Relationship Type="http://schemas.openxmlformats.org/officeDocument/2006/relationships/theme" Target="/xl/theme/theme1.xml" Id="R63fa54dbf9714fff" /><Relationship Type="http://schemas.openxmlformats.org/officeDocument/2006/relationships/sharedStrings" Target="/xl/sharedStrings.xml" Id="Rfa75ff42942f4c74" /><Relationship Type="http://schemas.openxmlformats.org/officeDocument/2006/relationships/worksheet" Target="/xl/worksheets/sheet1.xml" Id="Rc909e479dcc844ac" /><Relationship Type="http://schemas.openxmlformats.org/officeDocument/2006/relationships/worksheet" Target="/xl/worksheets/sheet2.xml" Id="Rf8d70bf4c9a54e35" /><Relationship Type="http://schemas.openxmlformats.org/officeDocument/2006/relationships/worksheet" Target="/xl/worksheets/sheet3.xml" Id="R0983cbe7f2314675" /><Relationship Type="http://schemas.openxmlformats.org/officeDocument/2006/relationships/worksheet" Target="/xl/worksheets/sheet4.xml" Id="Rfd463dad9dbf4262" /><Relationship Type="http://schemas.openxmlformats.org/officeDocument/2006/relationships/worksheet" Target="/xl/worksheets/sheet5.xml" Id="R481555b302d1452b" /><Relationship Type="http://schemas.openxmlformats.org/officeDocument/2006/relationships/worksheet" Target="/xl/worksheets/sheet6.xml" Id="R2215b227d5f3422a" /><Relationship Type="http://schemas.openxmlformats.org/officeDocument/2006/relationships/worksheet" Target="/xl/worksheets/sheet7.xml" Id="R0cc8c7fdb75e488c" /><Relationship Type="http://schemas.openxmlformats.org/officeDocument/2006/relationships/worksheet" Target="/xl/worksheets/sheet8.xml" Id="R6e110a8066134284" /><Relationship Type="http://schemas.openxmlformats.org/officeDocument/2006/relationships/worksheet" Target="/xl/worksheets/sheet9.xml" Id="R931587748f7e449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22.56999969482422" customWidth="1"/>
    <x:col min="2" max="2" width="34" customWidth="1"/>
    <x:col min="3" max="3" width="38.43000030517578" hidden="1" customWidth="1"/>
    <x:col min="4" max="5" width="12" customWidth="1"/>
    <x:col min="6" max="26" width="8.710000038146973" customWidth="1"/>
  </x:cols>
  <x:sheetData>
    <x:row r="1" ht="25.5" customHeight="1">
      <x:c r="A1" s="3" t="s">
        <x:v>0</x:v>
      </x:c>
      <x:c r="B1" s="5"/>
      <x:c r="C1" s="5"/>
      <x:c r="D1" s="5"/>
      <x:c r="E1" s="7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19.5" customHeight="1">
      <x:c r="A2" s="12" t="s">
        <x:v>1</x:v>
      </x:c>
      <x:c r="B2" s="5"/>
      <x:c r="C2" s="5"/>
      <x:c r="D2" s="5"/>
      <x:c r="E2" s="7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14.25" customHeight="1">
      <x:c r="A3" s="14" t="s">
        <x:v>2</x:v>
      </x:c>
      <x:c r="B3" s="14" t="s">
        <x:v>3</x:v>
      </x:c>
      <x:c r="C3" s="14" t="s">
        <x:v>4</x:v>
      </x:c>
      <x:c r="D3" s="14" t="s">
        <x:v>5</x:v>
      </x:c>
      <x:c r="E3" s="14" t="s">
        <x:v>6</x:v>
      </x:c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14.25" customHeight="1">
      <x:c r="A4" s="15">
        <x:v>1.0</x:v>
      </x:c>
      <x:c r="B4" s="15" t="s">
        <x:v>7</x:v>
      </x:c>
      <x:c r="C4" s="15" t="s">
        <x:v>8</x:v>
      </x:c>
      <x:c r="D4" s="15">
        <x:v>1.0</x:v>
      </x:c>
      <x:c r="E4" s="16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14.25" customHeight="1">
      <x:c r="A5" s="17"/>
      <x:c r="B5" s="17"/>
      <x:c r="C5" s="17" t="s">
        <x:v>9</x:v>
      </x:c>
      <x:c r="D5" s="17">
        <x:v>2.0</x:v>
      </x:c>
      <x:c r="E5" s="16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14.25" customHeight="1">
      <x:c r="A6" s="17"/>
      <x:c r="B6" s="17"/>
      <x:c r="C6" s="17" t="s">
        <x:v>10</x:v>
      </x:c>
      <x:c r="D6" s="17">
        <x:v>3.0</x:v>
      </x:c>
      <x:c r="E6" s="16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14.25" customHeight="1">
      <x:c r="A7" s="17"/>
      <x:c r="B7" s="17"/>
      <x:c r="C7" s="17" t="s">
        <x:v>11</x:v>
      </x:c>
      <x:c r="D7" s="17">
        <x:v>1.0</x:v>
      </x:c>
      <x:c r="E7" s="16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14.25" customHeight="1">
      <x:c r="A8" s="17"/>
      <x:c r="B8" s="17"/>
      <x:c r="C8" s="17" t="s">
        <x:v>12</x:v>
      </x:c>
      <x:c r="D8" s="17">
        <x:v>1.0</x:v>
      </x:c>
      <x:c r="E8" s="16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 ht="14.25" customHeight="1">
      <x:c r="A9" s="17"/>
      <x:c r="B9" s="17"/>
      <x:c r="C9" s="17" t="s">
        <x:v>13</x:v>
      </x:c>
      <x:c r="D9" s="17">
        <x:v>2.0</x:v>
      </x:c>
      <x:c r="E9" s="16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</x:row>
    <x:row r="10" ht="14.25" customHeight="1">
      <x:c r="A10" s="18"/>
      <x:c r="B10" s="18"/>
      <x:c r="C10" s="19" t="s">
        <x:v>14</x:v>
      </x:c>
      <x:c r="D10" s="20" t="n">
        <x:f t="shared" ref="D10:E10" si="1">SUM(D4:D9)</x:f>
        <x:v>10</x:v>
      </x:c>
      <x:c r="E10" s="20">
        <x:f t="shared" si="1"/>
        <x:v>0</x:v>
      </x:c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14.25" customHeight="1">
      <x:c r="A11" s="15">
        <x:v>2.0</x:v>
      </x:c>
      <x:c r="B11" s="15" t="s">
        <x:v>15</x:v>
      </x:c>
      <x:c r="C11" s="15" t="s">
        <x:v>16</x:v>
      </x:c>
      <x:c r="D11" s="15">
        <x:v>6.0</x:v>
      </x:c>
      <x:c r="E11" s="16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14.25" customHeight="1">
      <x:c r="A12" s="17"/>
      <x:c r="B12" s="17"/>
      <x:c r="C12" s="17" t="s">
        <x:v>17</x:v>
      </x:c>
      <x:c r="D12" s="17">
        <x:v>4.0</x:v>
      </x:c>
      <x:c r="E12" s="16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14.25" customHeight="1">
      <x:c r="A13" s="18"/>
      <x:c r="B13" s="18"/>
      <x:c r="C13" s="19" t="s">
        <x:v>18</x:v>
      </x:c>
      <x:c r="D13" s="20" t="n">
        <x:f t="shared" ref="D13:E13" si="2">SUM(D11:D12)</x:f>
        <x:v>10</x:v>
      </x:c>
      <x:c r="E13" s="20">
        <x:f t="shared" si="2"/>
        <x:v>0</x:v>
      </x:c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4.25" customHeight="1">
      <x:c r="A14" s="15">
        <x:v>3.0</x:v>
      </x:c>
      <x:c r="B14" s="15" t="s">
        <x:v>19</x:v>
      </x:c>
      <x:c r="C14" s="15" t="s">
        <x:v>20</x:v>
      </x:c>
      <x:c r="D14" s="15">
        <x:v>2.0</x:v>
      </x:c>
      <x:c r="E14" s="16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</x:row>
    <x:row r="15" ht="14.25" customHeight="1">
      <x:c r="A15" s="17"/>
      <x:c r="B15" s="17"/>
      <x:c r="C15" s="17" t="s">
        <x:v>21</x:v>
      </x:c>
      <x:c r="D15" s="17">
        <x:v>2.0</x:v>
      </x:c>
      <x:c r="E15" s="16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14.25" customHeight="1">
      <x:c r="A16" s="17"/>
      <x:c r="B16" s="17"/>
      <x:c r="C16" s="17" t="s">
        <x:v>22</x:v>
      </x:c>
      <x:c r="D16" s="17">
        <x:v>1.0</x:v>
      </x:c>
      <x:c r="E16" s="16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14.25" customHeight="1">
      <x:c r="A17" s="17"/>
      <x:c r="B17" s="17"/>
      <x:c r="C17" s="17" t="s">
        <x:v>23</x:v>
      </x:c>
      <x:c r="D17" s="17">
        <x:v>1.0</x:v>
      </x:c>
      <x:c r="E17" s="16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14.25" customHeight="1">
      <x:c r="A18" s="17"/>
      <x:c r="B18" s="17"/>
      <x:c r="C18" s="17" t="s">
        <x:v>24</x:v>
      </x:c>
      <x:c r="D18" s="17">
        <x:v>1.0</x:v>
      </x:c>
      <x:c r="E18" s="16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14.25" customHeight="1">
      <x:c r="A19" s="17"/>
      <x:c r="B19" s="17"/>
      <x:c r="C19" s="17" t="s">
        <x:v>25</x:v>
      </x:c>
      <x:c r="D19" s="17">
        <x:v>1.0</x:v>
      </x:c>
      <x:c r="E19" s="16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14.25" customHeight="1">
      <x:c r="A20" s="17"/>
      <x:c r="B20" s="17"/>
      <x:c r="C20" s="17" t="s">
        <x:v>26</x:v>
      </x:c>
      <x:c r="D20" s="17">
        <x:v>1.0</x:v>
      </x:c>
      <x:c r="E20" s="16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14.25" customHeight="1">
      <x:c r="A21" s="17"/>
      <x:c r="B21" s="17"/>
      <x:c r="C21" s="17" t="s">
        <x:v>27</x:v>
      </x:c>
      <x:c r="D21" s="17">
        <x:v>1.0</x:v>
      </x:c>
      <x:c r="E21" s="16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 ht="14.25" customHeight="1">
      <x:c r="A22" s="18"/>
      <x:c r="B22" s="18"/>
      <x:c r="C22" s="19" t="s">
        <x:v>28</x:v>
      </x:c>
      <x:c r="D22" s="20" t="n">
        <x:f t="shared" ref="D22:E22" si="3">SUM(D14:D21)</x:f>
        <x:v>10</x:v>
      </x:c>
      <x:c r="E22" s="20">
        <x:f t="shared" si="3"/>
        <x:v>0</x:v>
      </x:c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14.25" customHeight="1">
      <x:c r="A23" s="15">
        <x:v>4.0</x:v>
      </x:c>
      <x:c r="B23" s="15" t="s">
        <x:v>7</x:v>
      </x:c>
      <x:c r="C23" s="15" t="s">
        <x:v>29</x:v>
      </x:c>
      <x:c r="D23" s="15">
        <x:v>2.0</x:v>
      </x:c>
      <x:c r="E23" s="16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14.25" customHeight="1">
      <x:c r="A24" s="17"/>
      <x:c r="B24" s="17"/>
      <x:c r="C24" s="17" t="s">
        <x:v>30</x:v>
      </x:c>
      <x:c r="D24" s="17">
        <x:v>3.0</x:v>
      </x:c>
      <x:c r="E24" s="16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14.25" customHeight="1">
      <x:c r="A25" s="17"/>
      <x:c r="B25" s="17"/>
      <x:c r="C25" s="17" t="s">
        <x:v>31</x:v>
      </x:c>
      <x:c r="D25" s="17">
        <x:v>3.0</x:v>
      </x:c>
      <x:c r="E25" s="16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 ht="14.25" customHeight="1">
      <x:c r="A26" s="17"/>
      <x:c r="B26" s="17"/>
      <x:c r="C26" s="17" t="s">
        <x:v>32</x:v>
      </x:c>
      <x:c r="D26" s="17">
        <x:v>2.0</x:v>
      </x:c>
      <x:c r="E26" s="16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 ht="14.25" customHeight="1">
      <x:c r="A27" s="18"/>
      <x:c r="B27" s="18"/>
      <x:c r="C27" s="19" t="s">
        <x:v>33</x:v>
      </x:c>
      <x:c r="D27" s="20" t="n">
        <x:f t="shared" ref="D27:E27" si="4">SUM(D23:D26)</x:f>
        <x:v>10</x:v>
      </x:c>
      <x:c r="E27" s="20">
        <x:f t="shared" si="4"/>
        <x:v>0</x:v>
      </x:c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 ht="14.25" customHeight="1">
      <x:c r="A28" s="15">
        <x:v>5.0</x:v>
      </x:c>
      <x:c r="B28" s="15" t="s">
        <x:v>34</x:v>
      </x:c>
      <x:c r="C28" s="15" t="s">
        <x:v>35</x:v>
      </x:c>
      <x:c r="D28" s="15">
        <x:v>1.0</x:v>
      </x:c>
      <x:c r="E28" s="16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 ht="14.25" customHeight="1">
      <x:c r="A29" s="17"/>
      <x:c r="B29" s="17"/>
      <x:c r="C29" s="17" t="s">
        <x:v>36</x:v>
      </x:c>
      <x:c r="D29" s="17">
        <x:v>1.0</x:v>
      </x:c>
      <x:c r="E29" s="16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 ht="14.25" customHeight="1">
      <x:c r="A30" s="17"/>
      <x:c r="B30" s="17"/>
      <x:c r="C30" s="17" t="s">
        <x:v>37</x:v>
      </x:c>
      <x:c r="D30" s="17">
        <x:v>2.0</x:v>
      </x:c>
      <x:c r="E30" s="16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 ht="14.25" customHeight="1">
      <x:c r="A31" s="17"/>
      <x:c r="B31" s="17"/>
      <x:c r="C31" s="17" t="s">
        <x:v>38</x:v>
      </x:c>
      <x:c r="D31" s="17">
        <x:v>2.0</x:v>
      </x:c>
      <x:c r="E31" s="16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 ht="14.25" customHeight="1">
      <x:c r="A32" s="17"/>
      <x:c r="B32" s="17"/>
      <x:c r="C32" s="17" t="s">
        <x:v>39</x:v>
      </x:c>
      <x:c r="D32" s="17">
        <x:v>2.0</x:v>
      </x:c>
      <x:c r="E32" s="16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 ht="14.25" customHeight="1">
      <x:c r="A33" s="17"/>
      <x:c r="B33" s="17"/>
      <x:c r="C33" s="17" t="s">
        <x:v>40</x:v>
      </x:c>
      <x:c r="D33" s="17">
        <x:v>2.0</x:v>
      </x:c>
      <x:c r="E33" s="16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 ht="14.25" customHeight="1">
      <x:c r="A34" s="18"/>
      <x:c r="B34" s="18"/>
      <x:c r="C34" s="19" t="s">
        <x:v>41</x:v>
      </x:c>
      <x:c r="D34" s="20" t="n">
        <x:f t="shared" ref="D34:E34" si="5">SUM(D28:D33)</x:f>
        <x:v>10</x:v>
      </x:c>
      <x:c r="E34" s="20">
        <x:f t="shared" si="5"/>
        <x:v>0</x:v>
      </x:c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 ht="14.25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 ht="14.25" customHeight="1">
      <x:c r="A36" s="21" t="s">
        <x:v>42</x:v>
      </x:c>
      <x:c r="B36" s="22"/>
      <x:c r="C36" s="23"/>
      <x:c r="D36" s="24"/>
      <x:c r="E36" s="24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 ht="14.25" customHeight="1">
      <x:c r="A37" s="25" t="s">
        <x:v>43</x:v>
      </x:c>
      <x:c r="B37" s="25" t="s">
        <x:v>44</x:v>
      </x:c>
      <x:c r="C37" s="25" t="s">
        <x:v>45</x:v>
      </x:c>
      <x:c r="D37" s="25" t="n">
        <x:f t="shared" ref="D37:E37" si="6">D10</x:f>
        <x:v>10</x:v>
      </x:c>
      <x:c r="E37" s="25">
        <x:f t="shared" si="6"/>
        <x:v>0</x:v>
      </x:c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 ht="14.25" customHeight="1">
      <x:c r="A38" s="25" t="s">
        <x:v>46</x:v>
      </x:c>
      <x:c r="B38" s="25" t="s">
        <x:v>44</x:v>
      </x:c>
      <x:c r="C38" s="25" t="s">
        <x:v>47</x:v>
      </x:c>
      <x:c r="D38" s="25" t="n">
        <x:f t="shared" ref="D38:E38" si="7">D13</x:f>
        <x:v>10</x:v>
      </x:c>
      <x:c r="E38" s="25">
        <x:f t="shared" si="7"/>
        <x:v>0</x:v>
      </x:c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14.25" customHeight="1">
      <x:c r="A39" s="25" t="s">
        <x:v>48</x:v>
      </x:c>
      <x:c r="B39" s="25" t="s">
        <x:v>44</x:v>
      </x:c>
      <x:c r="C39" s="25" t="s">
        <x:v>49</x:v>
      </x:c>
      <x:c r="D39" s="25" t="n">
        <x:f t="shared" ref="D39:E39" si="8">D22</x:f>
        <x:v>10</x:v>
      </x:c>
      <x:c r="E39" s="25">
        <x:f t="shared" si="8"/>
        <x:v>0</x:v>
      </x:c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 ht="14.25" customHeight="1">
      <x:c r="A40" s="25" t="s">
        <x:v>50</x:v>
      </x:c>
      <x:c r="B40" s="25" t="s">
        <x:v>44</x:v>
      </x:c>
      <x:c r="C40" s="25" t="s">
        <x:v>51</x:v>
      </x:c>
      <x:c r="D40" s="25" t="n">
        <x:f t="shared" ref="D40:E40" si="9">D27</x:f>
        <x:v>10</x:v>
      </x:c>
      <x:c r="E40" s="25">
        <x:f t="shared" si="9"/>
        <x:v>0</x:v>
      </x:c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 ht="14.25" customHeight="1">
      <x:c r="A41" s="25" t="s">
        <x:v>52</x:v>
      </x:c>
      <x:c r="B41" s="25" t="s">
        <x:v>44</x:v>
      </x:c>
      <x:c r="C41" s="25" t="s">
        <x:v>53</x:v>
      </x:c>
      <x:c r="D41" s="25" t="n">
        <x:f t="shared" ref="D41:E41" si="10">D34</x:f>
        <x:v>10</x:v>
      </x:c>
      <x:c r="E41" s="25">
        <x:f t="shared" si="10"/>
        <x:v>0</x:v>
      </x:c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14.25" customHeight="1">
      <x:c r="A42" s="26" t="s">
        <x:v>54</x:v>
      </x:c>
      <x:c r="B42" s="22"/>
      <x:c r="C42" s="23"/>
      <x:c r="D42" s="27" t="n">
        <x:f t="shared" ref="D42:E42" si="11">SUM(LARGE(D37:D41,1),LARGE(D37:D41,2),LARGE(D37:D41,3),LARGE(D37:D41,4))</x:f>
        <x:v>40</x:v>
      </x:c>
      <x:c r="E42" s="27">
        <x:f t="shared" si="11"/>
        <x:v>0</x:v>
      </x:c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 ht="14.25" customHeight="1">
      <x:c r="A43" s="26" t="s">
        <x:v>55</x:v>
      </x:c>
      <x:c r="B43" s="22"/>
      <x:c r="C43" s="23"/>
      <x:c r="D43" s="27">
        <x:v>40.0</x:v>
      </x:c>
      <x:c r="E43" s="27" t="n">
        <x:f>E42</x:f>
        <x:v>0</x:v>
      </x:c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 ht="14.25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 ht="14.25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 ht="14.25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 ht="14.25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14.25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 ht="14.25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 ht="14.25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 ht="14.25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 ht="14.25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 ht="14.25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 ht="14.25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 ht="14.25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 ht="14.25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 ht="14.25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 ht="14.25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 ht="14.25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 ht="14.25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 ht="14.25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 ht="14.25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 ht="14.25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 ht="14.25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 ht="14.25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 ht="14.25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 ht="14.25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 ht="14.25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 ht="14.25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 ht="14.25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 ht="14.25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 ht="14.25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 ht="14.25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 ht="14.25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 ht="14.25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 ht="14.25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 ht="14.25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 ht="14.25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 ht="14.25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 ht="14.25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 ht="14.25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 ht="14.25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 ht="14.25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 ht="14.25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 ht="14.25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 ht="14.25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 ht="14.25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 ht="14.25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 ht="14.25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 ht="14.25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 ht="14.25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 ht="14.25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 ht="14.25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 ht="14.25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 ht="14.25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 ht="14.25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 ht="14.25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 ht="14.25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 ht="14.25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 ht="14.25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 ht="14.25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 ht="14.25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 ht="14.25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 ht="14.25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 ht="14.25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 ht="14.25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 ht="14.25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 ht="14.25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 ht="14.25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 ht="14.25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 ht="14.25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 ht="14.25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 ht="14.25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 ht="14.25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 ht="14.25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 ht="14.25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 ht="14.25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 ht="14.25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 ht="14.25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 ht="14.25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 ht="14.25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 ht="14.25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 ht="14.25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 ht="14.25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 ht="14.25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 ht="14.25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 ht="14.25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 ht="14.25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 ht="14.25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 ht="14.25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 ht="14.25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 ht="14.25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 ht="14.25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 ht="14.25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 ht="14.25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 ht="14.25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 ht="14.25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 ht="14.25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 ht="14.25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 ht="14.25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 ht="14.25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 ht="14.25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 ht="14.25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 ht="14.25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 ht="14.25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 ht="14.25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 ht="14.25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 ht="14.25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 ht="14.25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 ht="14.25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 ht="14.25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 ht="14.25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 ht="14.25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 ht="14.25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 ht="14.25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 ht="14.25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 ht="14.25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 ht="14.25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 ht="14.25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 ht="14.25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 ht="14.25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 ht="14.25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 ht="14.25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 ht="14.25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 ht="14.25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 ht="14.25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 ht="14.25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 ht="14.25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 ht="14.25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 ht="14.25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 ht="14.25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 ht="14.25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 ht="14.25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 ht="14.25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 ht="14.25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 ht="14.25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 ht="14.25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 ht="14.25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 ht="14.25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 ht="14.25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 ht="14.25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 ht="14.25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 ht="14.25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 ht="14.25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 ht="14.25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 ht="14.25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 ht="14.25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 ht="14.25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 ht="14.25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 ht="14.25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 ht="14.25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 ht="14.25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 ht="14.25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 ht="14.25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 ht="14.25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 ht="14.25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 ht="14.25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 ht="14.25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 ht="14.25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 ht="14.25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 ht="14.25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 ht="14.25" customHeight="1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 ht="14.25" customHeight="1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 ht="14.25" customHeight="1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 ht="14.25" customHeight="1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 ht="14.25" customHeight="1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 ht="14.25" customHeight="1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 ht="14.25" customHeight="1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 ht="14.25" customHeight="1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 ht="14.25" customHeight="1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 ht="14.25" customHeight="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 ht="14.25" customHeight="1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 ht="14.25" customHeight="1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 ht="14.25" customHeight="1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 ht="14.25" customHeight="1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 ht="14.25" customHeight="1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 ht="14.25" customHeight="1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 ht="14.25" customHeight="1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 ht="14.25" customHeight="1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 ht="14.25" customHeight="1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 ht="14.25" customHeight="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 ht="14.25" customHeight="1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 ht="14.25" customHeight="1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 ht="14.25" customHeight="1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 ht="14.25" customHeight="1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 ht="14.25" customHeight="1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 ht="14.25" customHeight="1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 ht="14.25" customHeight="1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 ht="14.25" customHeight="1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 ht="14.25" customHeight="1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 ht="14.25" customHeight="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 ht="14.25" customHeight="1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 ht="14.25" customHeight="1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 ht="14.25" customHeight="1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 ht="14.25" customHeight="1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 ht="14.25" customHeight="1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 ht="14.25" customHeight="1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 ht="14.25" customHeight="1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 ht="14.25" customHeight="1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 ht="14.25" customHeight="1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 ht="14.25" customHeight="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 ht="14.25" customHeight="1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 ht="14.25" customHeight="1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 ht="14.25" customHeight="1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 ht="14.25" customHeight="1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 ht="14.25" customHeight="1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 ht="14.25" customHeight="1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 ht="14.25" customHeight="1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 ht="14.25" customHeight="1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 ht="14.25" customHeight="1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 ht="14.25" customHeight="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 ht="14.25" customHeight="1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 ht="14.25" customHeight="1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 ht="14.25" customHeight="1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 ht="14.25" customHeight="1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 ht="14.25" customHeight="1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 ht="14.25" customHeight="1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 ht="14.25" customHeight="1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 ht="14.25" customHeight="1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 ht="14.25" customHeight="1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 ht="14.25" customHeight="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 ht="14.25" customHeight="1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 ht="14.25" customHeight="1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 ht="14.25" customHeight="1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 ht="14.25" customHeight="1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 ht="14.25" customHeight="1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 ht="14.25" customHeight="1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 ht="14.25" customHeight="1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 ht="14.25" customHeight="1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 ht="14.25" customHeight="1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 ht="14.25" customHeight="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 ht="14.25" customHeight="1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 ht="14.25" customHeight="1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 ht="14.25" customHeight="1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 ht="14.25" customHeight="1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 ht="14.25" customHeight="1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 ht="14.25" customHeight="1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 ht="14.25" customHeight="1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 ht="14.25" customHeight="1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 ht="14.25" customHeight="1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 ht="14.25" customHeight="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 ht="14.25" customHeight="1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 ht="14.25" customHeight="1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 ht="14.25" customHeight="1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 ht="14.25" customHeight="1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 ht="14.25" customHeight="1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 ht="14.25" customHeight="1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 ht="14.25" customHeight="1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 ht="14.25" customHeight="1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 ht="14.25" customHeight="1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 ht="14.25" customHeight="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 ht="14.25" customHeight="1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 ht="14.25" customHeight="1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 ht="14.25" customHeight="1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 ht="14.25" customHeight="1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 ht="14.25" customHeight="1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 ht="14.25" customHeight="1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 ht="14.25" customHeight="1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 ht="14.25" customHeight="1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 ht="14.25" customHeight="1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 ht="14.25" customHeight="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 ht="14.25" customHeight="1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 ht="14.25" customHeight="1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 ht="14.25" customHeight="1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 ht="14.25" customHeight="1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 ht="14.25" customHeight="1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 ht="14.25" customHeight="1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 ht="14.25" customHeight="1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 ht="14.25" customHeight="1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 ht="14.25" customHeight="1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 ht="14.25" customHeight="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 ht="14.25" customHeight="1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 ht="14.25" customHeight="1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 ht="14.25" customHeight="1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 ht="14.25" customHeight="1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 ht="14.25" customHeight="1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 ht="14.25" customHeight="1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 ht="14.25" customHeight="1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 ht="14.25" customHeight="1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 ht="14.25" customHeight="1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 ht="14.25" customHeight="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 ht="14.25" customHeight="1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 ht="14.25" customHeight="1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 ht="14.25" customHeight="1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 ht="14.25" customHeight="1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 ht="14.25" customHeight="1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 ht="14.25" customHeight="1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 ht="14.25" customHeight="1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 ht="14.25" customHeight="1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 ht="14.25" customHeight="1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 ht="14.25" customHeight="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 ht="14.25" customHeight="1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 ht="14.25" customHeight="1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 ht="14.25" customHeight="1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 ht="14.25" customHeight="1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 ht="14.25" customHeight="1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 ht="14.25" customHeight="1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 ht="14.25" customHeight="1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 ht="14.25" customHeight="1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 ht="14.25" customHeight="1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 ht="14.25" customHeight="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 ht="14.25" customHeight="1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 ht="14.25" customHeight="1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 ht="14.25" customHeight="1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 ht="14.25" customHeight="1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 ht="14.25" customHeight="1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 ht="14.25" customHeight="1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 ht="14.25" customHeight="1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 ht="14.25" customHeight="1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 ht="14.25" customHeight="1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 ht="14.25" customHeight="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 ht="14.25" customHeight="1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 ht="14.25" customHeight="1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 ht="14.25" customHeight="1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 ht="14.25" customHeight="1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 ht="14.25" customHeight="1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 ht="14.25" customHeight="1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 ht="14.25" customHeight="1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 ht="14.25" customHeight="1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 ht="14.25" customHeight="1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 ht="14.25" customHeight="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 ht="14.25" customHeight="1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 ht="14.25" customHeight="1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 ht="14.25" customHeight="1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 ht="14.25" customHeight="1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 ht="14.25" customHeight="1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 ht="14.25" customHeight="1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 ht="14.25" customHeight="1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 ht="14.25" customHeight="1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 ht="14.25" customHeight="1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 ht="14.25" customHeight="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 ht="14.25" customHeight="1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 ht="14.25" customHeight="1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 ht="14.25" customHeight="1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 ht="14.25" customHeight="1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 ht="14.25" customHeight="1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 ht="14.25" customHeight="1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 ht="14.25" customHeight="1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 ht="14.25" customHeight="1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 ht="14.25" customHeight="1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 ht="14.25" customHeight="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 ht="14.25" customHeight="1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 ht="14.25" customHeight="1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 ht="14.25" customHeight="1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 ht="14.25" customHeight="1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 ht="14.25" customHeight="1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 ht="14.25" customHeight="1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 ht="14.25" customHeight="1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 ht="14.25" customHeight="1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 ht="14.25" customHeight="1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 ht="14.25" customHeight="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 ht="14.25" customHeight="1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 ht="14.25" customHeight="1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 ht="14.25" customHeight="1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 ht="14.25" customHeight="1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 ht="14.25" customHeight="1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 ht="14.25" customHeight="1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 ht="14.25" customHeight="1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 ht="14.25" customHeight="1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 ht="14.25" customHeight="1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 ht="14.25" customHeight="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 ht="14.25" customHeight="1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 ht="14.25" customHeight="1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 ht="14.25" customHeight="1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 ht="14.25" customHeight="1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 ht="14.25" customHeight="1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 ht="14.25" customHeight="1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 ht="14.25" customHeight="1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 ht="14.25" customHeight="1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 ht="14.25" customHeight="1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 ht="14.25" customHeight="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 ht="14.25" customHeight="1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 ht="14.25" customHeight="1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 ht="14.25" customHeight="1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 ht="14.25" customHeight="1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 ht="14.25" customHeight="1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 ht="14.25" customHeight="1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 ht="14.25" customHeight="1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 ht="14.25" customHeight="1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 ht="14.25" customHeight="1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 ht="14.25" customHeight="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 ht="14.25" customHeight="1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 ht="14.25" customHeight="1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 ht="14.25" customHeight="1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 ht="14.25" customHeight="1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 ht="14.25" customHeight="1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 ht="14.25" customHeight="1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 ht="14.25" customHeight="1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 ht="14.25" customHeight="1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 ht="14.25" customHeight="1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 ht="14.25" customHeight="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 ht="14.25" customHeight="1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 ht="14.25" customHeight="1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 ht="14.25" customHeight="1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 ht="14.25" customHeight="1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 ht="14.25" customHeight="1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 ht="14.25" customHeight="1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 ht="14.25" customHeight="1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 ht="14.25" customHeight="1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 ht="14.25" customHeight="1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 ht="14.25" customHeight="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 ht="14.25" customHeight="1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 ht="14.25" customHeight="1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 ht="14.25" customHeight="1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 ht="14.25" customHeight="1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 ht="14.25" customHeight="1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 ht="14.25" customHeight="1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 ht="14.25" customHeight="1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 ht="14.25" customHeight="1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 ht="14.25" customHeight="1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 ht="14.25" customHeight="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 ht="14.25" customHeight="1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 ht="14.25" customHeight="1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 ht="14.25" customHeight="1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 ht="14.25" customHeight="1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 ht="14.25" customHeight="1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 ht="14.25" customHeight="1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 ht="14.25" customHeight="1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 ht="14.25" customHeight="1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 ht="14.25" customHeight="1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 ht="14.25" customHeight="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 ht="14.25" customHeight="1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 ht="14.25" customHeight="1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 ht="14.25" customHeight="1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 ht="14.25" customHeight="1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 ht="14.25" customHeight="1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 ht="14.25" customHeight="1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 ht="14.25" customHeight="1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 ht="14.25" customHeight="1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 ht="14.25" customHeight="1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 ht="14.25" customHeight="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 ht="14.25" customHeight="1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 ht="14.25" customHeight="1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 ht="14.25" customHeight="1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 ht="14.25" customHeight="1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 ht="14.25" customHeight="1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 ht="14.25" customHeight="1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 ht="14.25" customHeight="1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 ht="14.25" customHeight="1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 ht="14.25" customHeight="1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 ht="14.25" customHeight="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 ht="14.25" customHeight="1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 ht="14.25" customHeight="1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 ht="14.25" customHeight="1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 ht="14.25" customHeight="1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 ht="14.25" customHeight="1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 ht="14.25" customHeight="1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 ht="14.25" customHeight="1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 ht="14.25" customHeight="1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 ht="14.25" customHeight="1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 ht="14.25" customHeight="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 ht="14.25" customHeight="1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 ht="14.25" customHeight="1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 ht="14.25" customHeight="1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 ht="14.25" customHeight="1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 ht="14.25" customHeight="1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 ht="14.25" customHeight="1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 ht="14.25" customHeight="1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 ht="14.25" customHeight="1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 ht="14.25" customHeight="1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 ht="14.25" customHeight="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 ht="14.25" customHeight="1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 ht="14.25" customHeight="1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 ht="14.25" customHeight="1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 ht="14.25" customHeight="1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 ht="14.25" customHeight="1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 ht="14.25" customHeight="1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 ht="14.25" customHeight="1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 ht="14.25" customHeight="1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 ht="14.25" customHeight="1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 ht="14.25" customHeight="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 ht="14.25" customHeight="1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 ht="14.25" customHeight="1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 ht="14.25" customHeight="1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 ht="14.25" customHeight="1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 ht="14.25" customHeight="1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 ht="14.25" customHeight="1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 ht="14.25" customHeight="1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 ht="14.25" customHeight="1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 ht="14.25" customHeight="1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 ht="14.25" customHeight="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 ht="14.25" customHeight="1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 ht="14.25" customHeight="1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 ht="14.25" customHeight="1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 ht="14.25" customHeight="1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 ht="14.25" customHeight="1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 ht="14.25" customHeight="1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 ht="14.25" customHeight="1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 ht="14.25" customHeight="1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 ht="14.25" customHeight="1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 ht="14.25" customHeight="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 ht="14.25" customHeight="1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 ht="14.25" customHeight="1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 ht="14.25" customHeight="1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 ht="14.25" customHeight="1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 ht="14.25" customHeight="1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 ht="14.25" customHeight="1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 ht="14.25" customHeight="1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 ht="14.25" customHeight="1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 ht="14.25" customHeight="1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 ht="14.25" customHeight="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 ht="14.25" customHeight="1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 ht="14.25" customHeight="1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 ht="14.25" customHeight="1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 ht="14.25" customHeight="1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 ht="14.25" customHeight="1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 ht="14.25" customHeight="1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 ht="14.25" customHeight="1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 ht="14.25" customHeight="1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 ht="14.25" customHeight="1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 ht="14.25" customHeight="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 ht="14.25" customHeight="1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 ht="14.25" customHeight="1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 ht="14.25" customHeight="1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 ht="14.25" customHeight="1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 ht="14.25" customHeight="1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 ht="14.25" customHeight="1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 ht="14.25" customHeight="1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 ht="14.25" customHeight="1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 ht="14.25" customHeight="1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 ht="14.25" customHeight="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 ht="14.25" customHeight="1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 ht="14.25" customHeight="1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 ht="14.25" customHeight="1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 ht="14.25" customHeight="1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 ht="14.25" customHeight="1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 ht="14.25" customHeight="1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 ht="14.25" customHeight="1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 ht="14.25" customHeight="1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 ht="14.25" customHeight="1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 ht="14.25" customHeight="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 ht="14.25" customHeight="1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 ht="14.25" customHeight="1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 ht="14.25" customHeight="1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 ht="14.25" customHeight="1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 ht="14.25" customHeight="1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 ht="14.25" customHeight="1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 ht="14.25" customHeight="1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 ht="14.25" customHeight="1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 ht="14.25" customHeight="1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 ht="14.25" customHeight="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 ht="14.25" customHeight="1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 ht="14.25" customHeight="1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 ht="14.25" customHeight="1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 ht="14.25" customHeight="1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 ht="14.25" customHeight="1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 ht="14.25" customHeight="1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 ht="14.25" customHeight="1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 ht="14.25" customHeight="1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 ht="14.25" customHeight="1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 ht="14.25" customHeight="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 ht="14.25" customHeight="1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 ht="14.25" customHeight="1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 ht="14.25" customHeight="1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 ht="14.25" customHeight="1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 ht="14.25" customHeight="1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 ht="14.25" customHeight="1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 ht="14.25" customHeight="1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 ht="14.25" customHeight="1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 ht="14.25" customHeight="1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 ht="14.25" customHeight="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 ht="14.25" customHeight="1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 ht="14.25" customHeight="1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 ht="14.25" customHeight="1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 ht="14.25" customHeight="1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 ht="14.25" customHeight="1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 ht="14.25" customHeight="1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 ht="14.25" customHeight="1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 ht="14.25" customHeight="1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 ht="14.25" customHeight="1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 ht="14.25" customHeight="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 ht="14.25" customHeight="1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 ht="14.25" customHeight="1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 ht="14.25" customHeight="1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 ht="14.25" customHeight="1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 ht="14.25" customHeight="1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 ht="14.25" customHeight="1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 ht="14.25" customHeight="1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 ht="14.25" customHeight="1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 ht="14.25" customHeight="1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 ht="14.25" customHeight="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 ht="14.25" customHeight="1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 ht="14.25" customHeight="1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 ht="14.25" customHeight="1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 ht="14.25" customHeight="1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 ht="14.25" customHeight="1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 ht="14.25" customHeight="1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 ht="14.25" customHeight="1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 ht="14.25" customHeight="1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 ht="14.25" customHeight="1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 ht="14.25" customHeight="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 ht="14.25" customHeight="1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 ht="14.25" customHeight="1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 ht="14.25" customHeight="1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 ht="14.25" customHeight="1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 ht="14.25" customHeight="1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 ht="14.25" customHeight="1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 ht="14.25" customHeight="1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 ht="14.25" customHeight="1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 ht="14.25" customHeight="1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 ht="14.25" customHeight="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 ht="14.25" customHeight="1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 ht="14.25" customHeight="1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 ht="14.25" customHeight="1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 ht="14.25" customHeight="1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 ht="14.25" customHeight="1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 ht="14.25" customHeight="1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 ht="14.25" customHeight="1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 ht="14.25" customHeight="1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 ht="14.25" customHeight="1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 ht="14.25" customHeight="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 ht="14.25" customHeight="1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 ht="14.25" customHeight="1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 ht="14.25" customHeight="1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 ht="14.25" customHeight="1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 ht="14.25" customHeight="1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 ht="14.25" customHeight="1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 ht="14.25" customHeight="1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 ht="14.25" customHeight="1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 ht="14.25" customHeight="1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 ht="14.25" customHeight="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 ht="14.25" customHeight="1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 ht="14.25" customHeight="1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 ht="14.25" customHeight="1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 ht="14.25" customHeight="1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 ht="14.25" customHeight="1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 ht="14.25" customHeight="1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 ht="14.25" customHeight="1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 ht="14.25" customHeight="1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 ht="14.25" customHeight="1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 ht="14.25" customHeight="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 ht="14.25" customHeight="1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 ht="14.25" customHeight="1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 ht="14.25" customHeight="1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 ht="14.25" customHeight="1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 ht="14.25" customHeight="1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 ht="14.25" customHeight="1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 ht="14.25" customHeight="1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 ht="14.25" customHeight="1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 ht="14.25" customHeight="1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 ht="14.25" customHeight="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 ht="14.25" customHeight="1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 ht="14.25" customHeight="1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 ht="14.25" customHeight="1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 ht="14.25" customHeight="1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 ht="14.25" customHeight="1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 ht="14.25" customHeight="1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 ht="14.25" customHeight="1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 ht="14.25" customHeight="1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 ht="14.25" customHeight="1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 ht="14.25" customHeight="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 ht="14.25" customHeight="1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 ht="14.25" customHeight="1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 ht="14.25" customHeight="1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 ht="14.25" customHeight="1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 ht="14.25" customHeight="1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 ht="14.25" customHeight="1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 ht="14.25" customHeight="1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 ht="14.25" customHeight="1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 ht="14.25" customHeight="1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 ht="14.25" customHeight="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 ht="14.25" customHeight="1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 ht="14.25" customHeight="1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 ht="14.25" customHeight="1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 ht="14.25" customHeight="1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 ht="14.25" customHeight="1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 ht="14.25" customHeight="1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 ht="14.25" customHeight="1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 ht="14.25" customHeight="1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 ht="14.25" customHeight="1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 ht="14.25" customHeight="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 ht="14.25" customHeight="1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 ht="14.25" customHeight="1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 ht="14.25" customHeight="1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 ht="14.25" customHeight="1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 ht="14.25" customHeight="1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 ht="14.25" customHeight="1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 ht="14.25" customHeight="1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 ht="14.25" customHeight="1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 ht="14.25" customHeight="1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 ht="14.25" customHeight="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 ht="14.25" customHeight="1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 ht="14.25" customHeight="1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 ht="14.25" customHeight="1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 ht="14.25" customHeight="1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 ht="14.25" customHeight="1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 ht="14.25" customHeight="1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 ht="14.25" customHeight="1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 ht="14.25" customHeight="1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 ht="14.25" customHeight="1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 ht="14.25" customHeight="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 ht="14.25" customHeight="1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 ht="14.25" customHeight="1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 ht="14.25" customHeight="1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 ht="14.25" customHeight="1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 ht="14.25" customHeight="1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 ht="14.25" customHeight="1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 ht="14.25" customHeight="1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 ht="14.25" customHeight="1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 ht="14.25" customHeight="1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 ht="14.25" customHeight="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 ht="14.25" customHeight="1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 ht="14.25" customHeight="1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 ht="14.25" customHeight="1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 ht="14.25" customHeight="1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 ht="14.25" customHeight="1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 ht="14.25" customHeight="1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 ht="14.25" customHeight="1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 ht="14.25" customHeight="1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 ht="14.25" customHeight="1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 ht="14.25" customHeight="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 ht="14.25" customHeight="1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 ht="14.25" customHeight="1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 ht="14.25" customHeight="1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 ht="14.25" customHeight="1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 ht="14.25" customHeight="1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 ht="14.25" customHeight="1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 ht="14.25" customHeight="1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 ht="14.25" customHeight="1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 ht="14.25" customHeight="1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 ht="14.25" customHeight="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 ht="14.25" customHeight="1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 ht="14.25" customHeight="1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 ht="14.25" customHeight="1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 ht="14.25" customHeight="1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 ht="14.25" customHeight="1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 ht="14.25" customHeight="1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 ht="14.25" customHeight="1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 ht="14.25" customHeight="1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 ht="14.25" customHeight="1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 ht="14.25" customHeight="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 ht="14.25" customHeight="1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 ht="14.25" customHeight="1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 ht="14.25" customHeight="1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 ht="14.25" customHeight="1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 ht="14.25" customHeight="1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 ht="14.25" customHeight="1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 ht="14.25" customHeight="1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 ht="14.25" customHeight="1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 ht="14.25" customHeight="1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 ht="14.25" customHeight="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 ht="14.25" customHeight="1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 ht="14.25" customHeight="1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 ht="14.25" customHeight="1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 ht="14.25" customHeight="1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 ht="14.25" customHeight="1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 ht="14.25" customHeight="1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 ht="14.25" customHeight="1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 ht="14.25" customHeight="1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 ht="14.25" customHeight="1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 ht="14.25" customHeight="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 ht="14.25" customHeight="1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 ht="14.25" customHeight="1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 ht="14.25" customHeight="1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 ht="14.25" customHeight="1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 ht="14.25" customHeight="1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 ht="14.25" customHeight="1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 ht="14.25" customHeight="1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 ht="14.25" customHeight="1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 ht="14.25" customHeight="1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 ht="14.25" customHeight="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 ht="14.25" customHeight="1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 ht="14.25" customHeight="1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 ht="14.25" customHeight="1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 ht="14.25" customHeight="1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 ht="14.25" customHeight="1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 ht="14.25" customHeight="1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 ht="14.25" customHeight="1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 ht="14.25" customHeight="1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 ht="14.25" customHeight="1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 ht="14.25" customHeight="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 ht="14.25" customHeight="1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 ht="14.25" customHeight="1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 ht="14.25" customHeight="1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 ht="14.25" customHeight="1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 ht="14.25" customHeight="1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 ht="14.25" customHeight="1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 ht="14.25" customHeight="1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 ht="14.25" customHeight="1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 ht="14.25" customHeight="1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 ht="14.25" customHeight="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 ht="14.25" customHeight="1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 ht="14.25" customHeight="1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 ht="14.25" customHeight="1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 ht="14.25" customHeight="1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 ht="14.25" customHeight="1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 ht="14.25" customHeight="1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 ht="14.25" customHeight="1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 ht="14.25" customHeight="1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 ht="14.25" customHeight="1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 ht="14.25" customHeight="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 ht="14.25" customHeight="1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 ht="14.25" customHeight="1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 ht="14.25" customHeight="1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 ht="14.25" customHeight="1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 ht="14.25" customHeight="1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 ht="14.25" customHeight="1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 ht="14.25" customHeight="1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 ht="14.25" customHeight="1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 ht="14.25" customHeight="1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 ht="14.25" customHeight="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 ht="14.25" customHeight="1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 ht="14.25" customHeight="1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 ht="14.25" customHeight="1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 ht="14.25" customHeight="1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 ht="14.25" customHeight="1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 ht="14.25" customHeight="1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 ht="14.25" customHeight="1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 ht="14.25" customHeight="1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 ht="14.25" customHeight="1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 ht="14.25" customHeight="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 ht="14.25" customHeight="1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 ht="14.25" customHeight="1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 ht="14.25" customHeight="1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 ht="14.25" customHeight="1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 ht="14.25" customHeight="1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 ht="14.25" customHeight="1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 ht="14.25" customHeight="1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 ht="14.25" customHeight="1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 ht="14.25" customHeight="1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 ht="14.25" customHeight="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 ht="14.25" customHeight="1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 ht="14.25" customHeight="1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 ht="14.25" customHeight="1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 ht="14.25" customHeight="1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 ht="14.25" customHeight="1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 ht="14.25" customHeight="1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 ht="14.25" customHeight="1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 ht="14.25" customHeight="1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 ht="14.25" customHeight="1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 ht="14.25" customHeight="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 ht="14.25" customHeight="1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 ht="14.25" customHeight="1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 ht="14.25" customHeight="1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 ht="14.25" customHeight="1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 ht="14.25" customHeight="1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 ht="14.25" customHeight="1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 ht="14.25" customHeight="1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 ht="14.25" customHeight="1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 ht="14.25" customHeight="1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 ht="14.25" customHeight="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 ht="14.25" customHeight="1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 ht="14.25" customHeight="1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 ht="14.25" customHeight="1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 ht="14.25" customHeight="1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 ht="14.25" customHeight="1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 ht="14.25" customHeight="1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 ht="14.25" customHeight="1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 ht="14.25" customHeight="1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 ht="14.25" customHeight="1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 ht="14.25" customHeight="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 ht="14.25" customHeight="1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 ht="14.25" customHeight="1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 ht="14.25" customHeight="1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 ht="14.25" customHeight="1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 ht="14.25" customHeight="1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 ht="14.25" customHeight="1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 ht="14.25" customHeight="1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 ht="14.25" customHeight="1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 ht="14.25" customHeight="1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 ht="14.25" customHeight="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 ht="14.25" customHeight="1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 ht="14.25" customHeight="1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 ht="14.25" customHeight="1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 ht="14.25" customHeight="1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 ht="14.25" customHeight="1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 ht="14.25" customHeight="1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 ht="14.25" customHeight="1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 ht="14.25" customHeight="1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 ht="14.25" customHeight="1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 ht="14.25" customHeight="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 ht="14.25" customHeight="1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 ht="14.25" customHeight="1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 ht="14.25" customHeight="1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 ht="14.25" customHeight="1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 ht="14.25" customHeight="1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 ht="14.25" customHeight="1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 ht="14.25" customHeight="1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 ht="14.25" customHeight="1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 ht="14.25" customHeight="1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 ht="14.25" customHeight="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 ht="14.25" customHeight="1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 ht="14.25" customHeight="1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 ht="14.25" customHeight="1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 ht="14.25" customHeight="1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 ht="14.25" customHeight="1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 ht="14.25" customHeight="1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 ht="14.25" customHeight="1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 ht="14.25" customHeight="1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 ht="14.25" customHeight="1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 ht="14.25" customHeight="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 ht="14.25" customHeight="1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 ht="14.25" customHeight="1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 ht="14.25" customHeight="1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 ht="14.25" customHeight="1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 ht="14.25" customHeight="1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 ht="14.25" customHeight="1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 ht="14.25" customHeight="1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 ht="14.25" customHeight="1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 ht="14.25" customHeight="1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 ht="14.25" customHeight="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 ht="14.25" customHeight="1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 ht="14.25" customHeight="1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 ht="14.25" customHeight="1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 ht="14.25" customHeight="1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 ht="14.25" customHeight="1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 ht="14.25" customHeight="1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 ht="14.25" customHeight="1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 ht="14.25" customHeight="1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 ht="14.25" customHeight="1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 ht="14.25" customHeight="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 ht="14.25" customHeight="1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 ht="14.25" customHeight="1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 ht="14.25" customHeight="1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 ht="14.25" customHeight="1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 ht="14.25" customHeight="1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 ht="14.25" customHeight="1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 ht="14.25" customHeight="1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 ht="14.25" customHeight="1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 ht="14.25" customHeight="1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 ht="14.25" customHeight="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 ht="14.25" customHeight="1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 ht="14.25" customHeight="1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 ht="14.25" customHeight="1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 ht="14.25" customHeight="1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 ht="14.25" customHeight="1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 ht="14.25" customHeight="1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 ht="14.25" customHeight="1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 ht="14.25" customHeight="1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 ht="14.25" customHeight="1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 ht="14.25" customHeight="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 ht="14.25" customHeight="1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 ht="14.25" customHeight="1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 ht="14.25" customHeight="1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 ht="14.25" customHeight="1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 ht="14.25" customHeight="1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 ht="14.25" customHeight="1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 ht="14.25" customHeight="1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 ht="14.25" customHeight="1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 ht="14.25" customHeight="1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 ht="14.25" customHeight="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 ht="14.25" customHeight="1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 ht="14.25" customHeight="1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 ht="14.25" customHeight="1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 ht="14.25" customHeight="1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 ht="14.25" customHeight="1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 ht="14.25" customHeight="1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 ht="14.25" customHeight="1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 ht="14.25" customHeight="1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 ht="14.25" customHeight="1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 ht="14.25" customHeight="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 ht="14.25" customHeight="1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 ht="14.25" customHeight="1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 ht="14.25" customHeight="1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 ht="14.25" customHeight="1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 ht="14.25" customHeight="1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 ht="14.25" customHeight="1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 ht="14.25" customHeight="1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 ht="14.25" customHeight="1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 ht="14.25" customHeight="1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</x:sheetData>
  <x:mergeCells>
    <x:mergeCell ref="A1:E1"/>
    <x:mergeCell ref="A2:E2"/>
    <x:mergeCell ref="A36:C36"/>
    <x:mergeCell ref="A42:C42"/>
    <x:mergeCell ref="A43:C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8.710000038146973" customWidth="1"/>
    <x:col min="2" max="2" width="59.56999969482422" customWidth="1"/>
    <x:col min="3" max="3" width="86.29000091552734" customWidth="1"/>
    <x:col min="4" max="26" width="8.710000038146973" customWidth="1"/>
  </x:cols>
  <x:sheetData>
    <x:row r="1" ht="14.25" customHeight="1">
      <x:c r="A1" s="1"/>
    </x:row>
    <x:row r="2" ht="14.25" customHeight="1">
      <x:c r="A2" s="4"/>
    </x:row>
    <x:row r="3" ht="14.25" customHeight="1"/>
    <x:row r="4" ht="14.25" customHeight="1"/>
    <x:row r="5" ht="14.25" customHeight="1"/>
    <x:row r="6" ht="14.25" customHeight="1"/>
    <x:row r="7" ht="14.25" customHeight="1"/>
    <x:row r="8" ht="14.25" customHeight="1"/>
    <x:row r="9" ht="14.25" customHeight="1"/>
    <x:row r="10" ht="14.25" customHeight="1"/>
    <x:row r="11" ht="14.25" customHeight="1"/>
    <x:row r="12" ht="14.25" customHeight="1"/>
    <x:row r="13" ht="14.25" customHeight="1"/>
    <x:row r="14" ht="14.25" customHeight="1"/>
    <x:row r="15" ht="14.25" customHeight="1"/>
    <x:row r="16" ht="14.25" customHeight="1">
      <x:c r="B16" s="9" t="s">
        <x:v>56</x:v>
      </x:c>
      <x:c r="C16" s="9" t="s">
        <x:v>57</x:v>
      </x:c>
    </x:row>
    <x:row r="17" ht="14.25" customHeight="1">
      <x:c r="B17" s="11" t="s">
        <x:v>58</x:v>
      </x:c>
      <x:c r="C17" s="11" t="s">
        <x:v>59</x:v>
      </x:c>
    </x:row>
    <x:row r="18" ht="14.25" customHeight="1">
      <x:c r="B18" s="11" t="s">
        <x:v>60</x:v>
      </x:c>
      <x:c r="C18" s="11" t="s">
        <x:v>61</x:v>
      </x:c>
    </x:row>
    <x:row r="19" ht="14.25" customHeight="1">
      <x:c r="B19" s="11" t="s">
        <x:v>62</x:v>
      </x:c>
      <x:c r="C19" s="11" t="s">
        <x:v>63</x:v>
      </x:c>
    </x:row>
    <x:row r="20" ht="14.25" customHeight="1">
      <x:c r="B20" s="11" t="s">
        <x:v>64</x:v>
      </x:c>
      <x:c r="C20" s="11" t="s">
        <x:v>65</x:v>
      </x:c>
    </x:row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5" customWidth="1"/>
    <x:col min="2" max="2" width="36.709999084472656" customWidth="1"/>
    <x:col min="3" max="3" width="12" customWidth="1"/>
    <x:col min="4" max="4" width="24" customWidth="1"/>
    <x:col min="5" max="5" width="17" customWidth="1"/>
    <x:col min="6" max="6" width="19" customWidth="1"/>
    <x:col min="7" max="7" width="24" customWidth="1"/>
    <x:col min="8" max="8" width="23.290000915527344" customWidth="1"/>
    <x:col min="9" max="26" width="8.710000038146973" customWidth="1"/>
  </x:cols>
  <x:sheetData>
    <x:row r="1" ht="14.25" customHeight="1">
      <x:c r="A1" s="2" t="s">
        <x:v>66</x:v>
      </x:c>
    </x:row>
    <x:row r="2" ht="14.25" customHeight="1">
      <x:c r="A2" s="6" t="s">
        <x:v>67</x:v>
      </x:c>
      <x:c r="B2" s="6" t="s">
        <x:v>68</x:v>
      </x:c>
      <x:c r="C2" s="6" t="s">
        <x:v>69</x:v>
      </x:c>
      <x:c r="D2" s="6" t="s">
        <x:v>70</x:v>
      </x:c>
      <x:c r="E2" s="6" t="s">
        <x:v>71</x:v>
      </x:c>
      <x:c r="F2" s="6" t="s">
        <x:v>72</x:v>
      </x:c>
      <x:c r="G2" s="6" t="s">
        <x:v>73</x:v>
      </x:c>
      <x:c r="H2" s="6" t="s">
        <x:v>74</x:v>
      </x:c>
    </x:row>
    <x:row r="3" ht="14.25" customHeight="1">
      <x:c r="A3" s="10">
        <x:v>1.0</x:v>
      </x:c>
      <x:c r="B3" s="13" t="s">
        <x:v>75</x:v>
      </x:c>
      <x:c r="C3" s="13" t="s">
        <x:v>76</x:v>
      </x:c>
      <x:c r="D3" s="10">
        <x:v>7212.0</x:v>
      </x:c>
      <x:c r="E3" s="10">
        <x:v>10284.0</x:v>
      </x:c>
      <x:c r="F3" s="10">
        <x:v>696.0</x:v>
      </x:c>
      <x:c r="G3" s="10">
        <x:v>981.0</x:v>
      </x:c>
      <x:c r="H3" s="10">
        <x:v>2424.0</x:v>
      </x:c>
    </x:row>
    <x:row r="4" ht="14.25" customHeight="1">
      <x:c r="A4" s="10">
        <x:v>2.0</x:v>
      </x:c>
      <x:c r="B4" s="13" t="s">
        <x:v>77</x:v>
      </x:c>
      <x:c r="C4" s="13" t="s">
        <x:v>76</x:v>
      </x:c>
      <x:c r="D4" s="10">
        <x:v>7940.0</x:v>
      </x:c>
      <x:c r="E4" s="10">
        <x:v>11308.0</x:v>
      </x:c>
      <x:c r="F4" s="10">
        <x:v>866.0</x:v>
      </x:c>
      <x:c r="G4" s="10">
        <x:v>893.0</x:v>
      </x:c>
      <x:c r="H4" s="10">
        <x:v>4330.0</x:v>
      </x:c>
    </x:row>
    <x:row r="5" ht="14.25" customHeight="1">
      <x:c r="A5" s="10">
        <x:v>3.0</x:v>
      </x:c>
      <x:c r="B5" s="13" t="s">
        <x:v>75</x:v>
      </x:c>
      <x:c r="C5" s="13" t="s">
        <x:v>78</x:v>
      </x:c>
      <x:c r="D5" s="10">
        <x:v>6464.0</x:v>
      </x:c>
      <x:c r="E5" s="10">
        <x:v>9479.0</x:v>
      </x:c>
      <x:c r="F5" s="10">
        <x:v>714.0</x:v>
      </x:c>
      <x:c r="G5" s="10">
        <x:v>976.0</x:v>
      </x:c>
      <x:c r="H5" s="10">
        <x:v>2929.0</x:v>
      </x:c>
    </x:row>
    <x:row r="6" ht="14.25" customHeight="1">
      <x:c r="A6" s="10">
        <x:v>4.0</x:v>
      </x:c>
      <x:c r="B6" s="13" t="s">
        <x:v>75</x:v>
      </x:c>
      <x:c r="C6" s="13" t="s">
        <x:v>79</x:v>
      </x:c>
      <x:c r="D6" s="10">
        <x:v>4415.0</x:v>
      </x:c>
      <x:c r="E6" s="10">
        <x:v>7505.0</x:v>
      </x:c>
      <x:c r="F6" s="10">
        <x:v>563.0</x:v>
      </x:c>
      <x:c r="G6" s="10">
        <x:v>905.0</x:v>
      </x:c>
      <x:c r="H6" s="10">
        <x:v>3824.0</x:v>
      </x:c>
    </x:row>
    <x:row r="7" ht="14.25" customHeight="1">
      <x:c r="A7" s="10">
        <x:v>5.0</x:v>
      </x:c>
      <x:c r="B7" s="13" t="s">
        <x:v>75</x:v>
      </x:c>
      <x:c r="C7" s="13" t="s">
        <x:v>78</x:v>
      </x:c>
      <x:c r="D7" s="10">
        <x:v>3391.0</x:v>
      </x:c>
      <x:c r="E7" s="10">
        <x:v>6501.0</x:v>
      </x:c>
      <x:c r="F7" s="10">
        <x:v>475.0</x:v>
      </x:c>
      <x:c r="G7" s="10">
        <x:v>793.0</x:v>
      </x:c>
      <x:c r="H7" s="10">
        <x:v>3992.0</x:v>
      </x:c>
    </x:row>
    <x:row r="8" ht="14.25" customHeight="1">
      <x:c r="A8" s="10">
        <x:v>6.0</x:v>
      </x:c>
      <x:c r="B8" s="13" t="s">
        <x:v>75</x:v>
      </x:c>
      <x:c r="C8" s="13" t="s">
        <x:v>79</x:v>
      </x:c>
      <x:c r="D8" s="10">
        <x:v>4230.0</x:v>
      </x:c>
      <x:c r="E8" s="10">
        <x:v>6514.0</x:v>
      </x:c>
      <x:c r="F8" s="10">
        <x:v>520.0</x:v>
      </x:c>
      <x:c r="G8" s="10">
        <x:v>790.0</x:v>
      </x:c>
      <x:c r="H8" s="10">
        <x:v>3964.0</x:v>
      </x:c>
    </x:row>
    <x:row r="9" ht="14.25" customHeight="1">
      <x:c r="A9" s="10">
        <x:v>7.0</x:v>
      </x:c>
      <x:c r="B9" s="13" t="s">
        <x:v>75</x:v>
      </x:c>
      <x:c r="C9" s="13" t="s">
        <x:v>79</x:v>
      </x:c>
      <x:c r="D9" s="10">
        <x:v>6405.0</x:v>
      </x:c>
      <x:c r="E9" s="10">
        <x:v>9367.0</x:v>
      </x:c>
      <x:c r="F9" s="10">
        <x:v>677.0</x:v>
      </x:c>
      <x:c r="G9" s="10">
        <x:v>976.0</x:v>
      </x:c>
      <x:c r="H9" s="10">
        <x:v>4025.0</x:v>
      </x:c>
    </x:row>
    <x:row r="10" ht="14.25" customHeight="1">
      <x:c r="A10" s="10">
        <x:v>8.0</x:v>
      </x:c>
      <x:c r="B10" s="13" t="s">
        <x:v>75</x:v>
      </x:c>
      <x:c r="C10" s="13" t="s">
        <x:v>76</x:v>
      </x:c>
      <x:c r="D10" s="10">
        <x:v>7247.0</x:v>
      </x:c>
      <x:c r="E10" s="10">
        <x:v>11250.0</x:v>
      </x:c>
      <x:c r="F10" s="10">
        <x:v>790.0</x:v>
      </x:c>
      <x:c r="G10" s="10">
        <x:v>1081.0</x:v>
      </x:c>
      <x:c r="H10" s="10">
        <x:v>4563.0</x:v>
      </x:c>
    </x:row>
    <x:row r="11" ht="14.25" customHeight="1">
      <x:c r="A11" s="10">
        <x:v>9.0</x:v>
      </x:c>
      <x:c r="B11" s="13" t="s">
        <x:v>77</x:v>
      </x:c>
      <x:c r="C11" s="13" t="s">
        <x:v>79</x:v>
      </x:c>
      <x:c r="D11" s="10">
        <x:v>5807.0</x:v>
      </x:c>
      <x:c r="E11" s="10">
        <x:v>8868.0</x:v>
      </x:c>
      <x:c r="F11" s="10">
        <x:v>652.0</x:v>
      </x:c>
      <x:c r="G11" s="10">
        <x:v>702.0</x:v>
      </x:c>
      <x:c r="H11" s="10">
        <x:v>5696.0</x:v>
      </x:c>
    </x:row>
    <x:row r="12" ht="14.25" customHeight="1">
      <x:c r="A12" s="10">
        <x:v>10.0</x:v>
      </x:c>
      <x:c r="B12" s="13" t="s">
        <x:v>77</x:v>
      </x:c>
      <x:c r="C12" s="13" t="s">
        <x:v>79</x:v>
      </x:c>
      <x:c r="D12" s="10">
        <x:v>6276.0</x:v>
      </x:c>
      <x:c r="E12" s="10">
        <x:v>9429.0</x:v>
      </x:c>
      <x:c r="F12" s="10">
        <x:v>729.0</x:v>
      </x:c>
      <x:c r="G12" s="10">
        <x:v>772.0</x:v>
      </x:c>
      <x:c r="H12" s="10">
        <x:v>7505.0</x:v>
      </x:c>
    </x:row>
    <x:row r="13" ht="14.25" customHeight="1">
      <x:c r="A13" s="10">
        <x:v>11.0</x:v>
      </x:c>
      <x:c r="B13" s="13" t="s">
        <x:v>75</x:v>
      </x:c>
      <x:c r="C13" s="13" t="s">
        <x:v>80</x:v>
      </x:c>
      <x:c r="D13" s="10">
        <x:v>5194.0</x:v>
      </x:c>
      <x:c r="E13" s="10">
        <x:v>8047.0</x:v>
      </x:c>
      <x:c r="F13" s="10">
        <x:v>604.0</x:v>
      </x:c>
      <x:c r="G13" s="10">
        <x:v>929.0</x:v>
      </x:c>
      <x:c r="H13" s="10">
        <x:v>2712.0</x:v>
      </x:c>
    </x:row>
    <x:row r="14" ht="14.25" customHeight="1">
      <x:c r="A14" s="10">
        <x:v>12.0</x:v>
      </x:c>
      <x:c r="B14" s="13" t="s">
        <x:v>77</x:v>
      </x:c>
      <x:c r="C14" s="13" t="s">
        <x:v>76</x:v>
      </x:c>
      <x:c r="D14" s="10">
        <x:v>5893.0</x:v>
      </x:c>
      <x:c r="E14" s="10">
        <x:v>8967.0</x:v>
      </x:c>
      <x:c r="F14" s="10">
        <x:v>689.0</x:v>
      </x:c>
      <x:c r="G14" s="10">
        <x:v>677.0</x:v>
      </x:c>
      <x:c r="H14" s="10">
        <x:v>4547.0</x:v>
      </x:c>
    </x:row>
    <x:row r="15" ht="14.25" customHeight="1">
      <x:c r="A15" s="10">
        <x:v>13.0</x:v>
      </x:c>
      <x:c r="B15" s="13" t="s">
        <x:v>77</x:v>
      </x:c>
      <x:c r="C15" s="13" t="s">
        <x:v>79</x:v>
      </x:c>
      <x:c r="D15" s="10">
        <x:v>4122.0</x:v>
      </x:c>
      <x:c r="E15" s="10">
        <x:v>7645.0</x:v>
      </x:c>
      <x:c r="F15" s="10">
        <x:v>513.0</x:v>
      </x:c>
      <x:c r="G15" s="10">
        <x:v>533.0</x:v>
      </x:c>
      <x:c r="H15" s="10">
        <x:v>4916.0</x:v>
      </x:c>
    </x:row>
    <x:row r="16" ht="14.25" customHeight="1">
      <x:c r="A16" s="10">
        <x:v>14.0</x:v>
      </x:c>
      <x:c r="B16" s="13" t="s">
        <x:v>75</x:v>
      </x:c>
      <x:c r="C16" s="13" t="s">
        <x:v>76</x:v>
      </x:c>
      <x:c r="D16" s="10">
        <x:v>7940.0</x:v>
      </x:c>
      <x:c r="E16" s="10">
        <x:v>12335.0</x:v>
      </x:c>
      <x:c r="F16" s="10">
        <x:v>891.0</x:v>
      </x:c>
      <x:c r="G16" s="10">
        <x:v>1147.0</x:v>
      </x:c>
      <x:c r="H16" s="10">
        <x:v>3938.0</x:v>
      </x:c>
    </x:row>
    <x:row r="17" ht="14.25" customHeight="1">
      <x:c r="A17" s="10">
        <x:v>15.0</x:v>
      </x:c>
      <x:c r="B17" s="13" t="s">
        <x:v>75</x:v>
      </x:c>
      <x:c r="C17" s="13" t="s">
        <x:v>79</x:v>
      </x:c>
      <x:c r="D17" s="10">
        <x:v>5241.0</x:v>
      </x:c>
      <x:c r="E17" s="10">
        <x:v>8766.0</x:v>
      </x:c>
      <x:c r="F17" s="10">
        <x:v>639.0</x:v>
      </x:c>
      <x:c r="G17" s="10">
        <x:v>931.0</x:v>
      </x:c>
      <x:c r="H17" s="10">
        <x:v>4167.0</x:v>
      </x:c>
    </x:row>
    <x:row r="18" ht="14.25" customHeight="1">
      <x:c r="A18" s="10">
        <x:v>16.0</x:v>
      </x:c>
      <x:c r="B18" s="13" t="s">
        <x:v>77</x:v>
      </x:c>
      <x:c r="C18" s="13" t="s">
        <x:v>76</x:v>
      </x:c>
      <x:c r="D18" s="10">
        <x:v>5843.0</x:v>
      </x:c>
      <x:c r="E18" s="10">
        <x:v>9936.0</x:v>
      </x:c>
      <x:c r="F18" s="10">
        <x:v>632.0</x:v>
      </x:c>
      <x:c r="G18" s="10">
        <x:v>635.0</x:v>
      </x:c>
      <x:c r="H18" s="10">
        <x:v>4758.0</x:v>
      </x:c>
    </x:row>
    <x:row r="19" ht="14.25" customHeight="1">
      <x:c r="A19" s="10">
        <x:v>17.0</x:v>
      </x:c>
      <x:c r="B19" s="13" t="s">
        <x:v>75</x:v>
      </x:c>
      <x:c r="C19" s="13" t="s">
        <x:v>80</x:v>
      </x:c>
      <x:c r="D19" s="10">
        <x:v>5755.0</x:v>
      </x:c>
      <x:c r="E19" s="10">
        <x:v>9046.0</x:v>
      </x:c>
      <x:c r="F19" s="10">
        <x:v>655.0</x:v>
      </x:c>
      <x:c r="G19" s="10">
        <x:v>1011.0</x:v>
      </x:c>
      <x:c r="H19" s="10">
        <x:v>3288.0</x:v>
      </x:c>
    </x:row>
    <x:row r="20" ht="14.25" customHeight="1">
      <x:c r="A20" s="10">
        <x:v>18.0</x:v>
      </x:c>
      <x:c r="B20" s="13" t="s">
        <x:v>75</x:v>
      </x:c>
      <x:c r="C20" s="13" t="s">
        <x:v>76</x:v>
      </x:c>
      <x:c r="D20" s="10">
        <x:v>5228.0</x:v>
      </x:c>
      <x:c r="E20" s="10">
        <x:v>8913.0</x:v>
      </x:c>
      <x:c r="F20" s="10">
        <x:v>645.0</x:v>
      </x:c>
      <x:c r="G20" s="10">
        <x:v>876.0</x:v>
      </x:c>
      <x:c r="H20" s="10">
        <x:v>4597.0</x:v>
      </x:c>
    </x:row>
    <x:row r="21" ht="14.25" customHeight="1">
      <x:c r="A21" s="10">
        <x:v>19.0</x:v>
      </x:c>
      <x:c r="B21" s="13" t="s">
        <x:v>75</x:v>
      </x:c>
      <x:c r="C21" s="13" t="s">
        <x:v>76</x:v>
      </x:c>
      <x:c r="D21" s="10">
        <x:v>6926.0</x:v>
      </x:c>
      <x:c r="E21" s="10">
        <x:v>11050.0</x:v>
      </x:c>
      <x:c r="F21" s="10">
        <x:v>742.0</x:v>
      </x:c>
      <x:c r="G21" s="10">
        <x:v>1022.0</x:v>
      </x:c>
      <x:c r="H21" s="10">
        <x:v>3784.0</x:v>
      </x:c>
    </x:row>
    <x:row r="22" ht="14.25" customHeight="1">
      <x:c r="A22" s="10">
        <x:v>20.0</x:v>
      </x:c>
      <x:c r="B22" s="13" t="s">
        <x:v>75</x:v>
      </x:c>
      <x:c r="C22" s="13" t="s">
        <x:v>78</x:v>
      </x:c>
      <x:c r="D22" s="10">
        <x:v>2071.0</x:v>
      </x:c>
      <x:c r="E22" s="10">
        <x:v>3532.0</x:v>
      </x:c>
      <x:c r="F22" s="10">
        <x:v>266.0</x:v>
      </x:c>
      <x:c r="G22" s="10">
        <x:v>555.0</x:v>
      </x:c>
      <x:c r="H22" s="10">
        <x:v>3065.0</x:v>
      </x:c>
    </x:row>
    <x:row r="23" ht="14.25" customHeight="1">
      <x:c r="A23" s="10">
        <x:v>21.0</x:v>
      </x:c>
      <x:c r="B23" s="13" t="s">
        <x:v>75</x:v>
      </x:c>
      <x:c r="C23" s="13" t="s">
        <x:v>79</x:v>
      </x:c>
      <x:c r="D23" s="10">
        <x:v>5781.0</x:v>
      </x:c>
      <x:c r="E23" s="10">
        <x:v>10292.0</x:v>
      </x:c>
      <x:c r="F23" s="10">
        <x:v>663.0</x:v>
      </x:c>
      <x:c r="G23" s="10">
        <x:v>949.0</x:v>
      </x:c>
      <x:c r="H23" s="10">
        <x:v>4551.0</x:v>
      </x:c>
    </x:row>
    <x:row r="24" ht="14.25" customHeight="1">
      <x:c r="A24" s="10">
        <x:v>22.0</x:v>
      </x:c>
      <x:c r="B24" s="13" t="s">
        <x:v>77</x:v>
      </x:c>
      <x:c r="C24" s="13" t="s">
        <x:v>76</x:v>
      </x:c>
      <x:c r="D24" s="10">
        <x:v>6511.0</x:v>
      </x:c>
      <x:c r="E24" s="10">
        <x:v>9246.0</x:v>
      </x:c>
      <x:c r="F24" s="10">
        <x:v>604.0</x:v>
      </x:c>
      <x:c r="G24" s="10">
        <x:v>607.0</x:v>
      </x:c>
      <x:c r="H24" s="10">
        <x:v>6278.0</x:v>
      </x:c>
    </x:row>
    <x:row r="25" ht="14.25" customHeight="1">
      <x:c r="A25" s="10">
        <x:v>23.0</x:v>
      </x:c>
      <x:c r="B25" s="13" t="s">
        <x:v>77</x:v>
      </x:c>
      <x:c r="C25" s="13" t="s">
        <x:v>79</x:v>
      </x:c>
      <x:c r="D25" s="10">
        <x:v>5816.0</x:v>
      </x:c>
      <x:c r="E25" s="10">
        <x:v>9816.0</x:v>
      </x:c>
      <x:c r="F25" s="10">
        <x:v>678.0</x:v>
      </x:c>
      <x:c r="G25" s="10">
        <x:v>743.0</x:v>
      </x:c>
      <x:c r="H25" s="10">
        <x:v>500.0</x:v>
      </x:c>
    </x:row>
    <x:row r="26" ht="14.25" customHeight="1">
      <x:c r="A26" s="10">
        <x:v>24.0</x:v>
      </x:c>
      <x:c r="B26" s="13" t="s">
        <x:v>77</x:v>
      </x:c>
      <x:c r="C26" s="13" t="s">
        <x:v>78</x:v>
      </x:c>
      <x:c r="D26" s="10">
        <x:v>3807.0</x:v>
      </x:c>
      <x:c r="E26" s="10">
        <x:v>6680.0</x:v>
      </x:c>
      <x:c r="F26" s="10">
        <x:v>468.0</x:v>
      </x:c>
      <x:c r="G26" s="10">
        <x:v>475.0</x:v>
      </x:c>
      <x:c r="H26" s="10">
        <x:v>4228.0</x:v>
      </x:c>
    </x:row>
    <x:row r="27" ht="14.25" customHeight="1">
      <x:c r="A27" s="10">
        <x:v>25.0</x:v>
      </x:c>
      <x:c r="B27" s="13" t="s">
        <x:v>75</x:v>
      </x:c>
      <x:c r="C27" s="13" t="s">
        <x:v>79</x:v>
      </x:c>
      <x:c r="D27" s="10">
        <x:v>4141.0</x:v>
      </x:c>
      <x:c r="E27" s="10">
        <x:v>6708.0</x:v>
      </x:c>
      <x:c r="F27" s="10">
        <x:v>454.0</x:v>
      </x:c>
      <x:c r="G27" s="10">
        <x:v>713.0</x:v>
      </x:c>
      <x:c r="H27" s="10">
        <x:v>3363.0</x:v>
      </x:c>
    </x:row>
    <x:row r="28" ht="14.25" customHeight="1">
      <x:c r="A28" s="10">
        <x:v>26.0</x:v>
      </x:c>
      <x:c r="B28" s="13" t="s">
        <x:v>77</x:v>
      </x:c>
      <x:c r="C28" s="13" t="s">
        <x:v>79</x:v>
      </x:c>
      <x:c r="D28" s="10">
        <x:v>3752.0</x:v>
      </x:c>
      <x:c r="E28" s="10">
        <x:v>6149.0</x:v>
      </x:c>
      <x:c r="F28" s="10">
        <x:v>458.0</x:v>
      </x:c>
      <x:c r="G28" s="10">
        <x:v>466.0</x:v>
      </x:c>
      <x:c r="H28" s="10">
        <x:v>1722.0</x:v>
      </x:c>
    </x:row>
    <x:row r="29" ht="14.25" customHeight="1">
      <x:c r="A29" s="10">
        <x:v>27.0</x:v>
      </x:c>
      <x:c r="B29" s="13" t="s">
        <x:v>75</x:v>
      </x:c>
      <x:c r="C29" s="13" t="s">
        <x:v>80</x:v>
      </x:c>
      <x:c r="D29" s="10">
        <x:v>5434.0</x:v>
      </x:c>
      <x:c r="E29" s="10">
        <x:v>8587.0</x:v>
      </x:c>
      <x:c r="F29" s="10">
        <x:v>617.0</x:v>
      </x:c>
      <x:c r="G29" s="10">
        <x:v>834.0</x:v>
      </x:c>
      <x:c r="H29" s="10">
        <x:v>3185.0</x:v>
      </x:c>
    </x:row>
    <x:row r="30" ht="14.25" customHeight="1">
      <x:c r="A30" s="10">
        <x:v>28.0</x:v>
      </x:c>
      <x:c r="B30" s="13" t="s">
        <x:v>75</x:v>
      </x:c>
      <x:c r="C30" s="13" t="s">
        <x:v>76</x:v>
      </x:c>
      <x:c r="D30" s="10">
        <x:v>6612.0</x:v>
      </x:c>
      <x:c r="E30" s="10">
        <x:v>11031.0</x:v>
      </x:c>
      <x:c r="F30" s="10">
        <x:v>783.0</x:v>
      </x:c>
      <x:c r="G30" s="10">
        <x:v>1085.0</x:v>
      </x:c>
      <x:c r="H30" s="10">
        <x:v>3119.0</x:v>
      </x:c>
    </x:row>
    <x:row r="31" ht="14.25" customHeight="1">
      <x:c r="A31" s="10">
        <x:v>29.0</x:v>
      </x:c>
      <x:c r="B31" s="13" t="s">
        <x:v>75</x:v>
      </x:c>
      <x:c r="C31" s="13" t="s">
        <x:v>79</x:v>
      </x:c>
      <x:c r="D31" s="10">
        <x:v>5339.0</x:v>
      </x:c>
      <x:c r="E31" s="10">
        <x:v>7575.0</x:v>
      </x:c>
      <x:c r="F31" s="10">
        <x:v>562.0</x:v>
      </x:c>
      <x:c r="G31" s="10">
        <x:v>866.0</x:v>
      </x:c>
      <x:c r="H31" s="10">
        <x:v>3622.0</x:v>
      </x:c>
    </x:row>
    <x:row r="32" ht="14.25" customHeight="1">
      <x:c r="A32" s="10">
        <x:v>30.0</x:v>
      </x:c>
      <x:c r="B32" s="13" t="s">
        <x:v>77</x:v>
      </x:c>
      <x:c r="C32" s="13" t="s">
        <x:v>79</x:v>
      </x:c>
      <x:c r="D32" s="10">
        <x:v>3031.0</x:v>
      </x:c>
      <x:c r="E32" s="10">
        <x:v>6056.0</x:v>
      </x:c>
      <x:c r="F32" s="10">
        <x:v>348.0</x:v>
      </x:c>
      <x:c r="G32" s="10">
        <x:v>440.0</x:v>
      </x:c>
      <x:c r="H32" s="10">
        <x:v>5280.0</x:v>
      </x:c>
    </x:row>
    <x:row r="33" ht="14.25" customHeight="1">
      <x:c r="A33" s="10">
        <x:v>31.0</x:v>
      </x:c>
      <x:c r="B33" s="13" t="s">
        <x:v>75</x:v>
      </x:c>
      <x:c r="C33" s="13" t="s">
        <x:v>76</x:v>
      </x:c>
      <x:c r="D33" s="10">
        <x:v>5115.0</x:v>
      </x:c>
      <x:c r="E33" s="10">
        <x:v>8544.0</x:v>
      </x:c>
      <x:c r="F33" s="10">
        <x:v>681.0</x:v>
      </x:c>
      <x:c r="G33" s="10">
        <x:v>949.0</x:v>
      </x:c>
      <x:c r="H33" s="10">
        <x:v>5071.0</x:v>
      </x:c>
    </x:row>
    <x:row r="34" ht="14.25" customHeight="1">
      <x:c r="A34" s="10">
        <x:v>32.0</x:v>
      </x:c>
      <x:c r="B34" s="13" t="s">
        <x:v>77</x:v>
      </x:c>
      <x:c r="C34" s="13" t="s">
        <x:v>76</x:v>
      </x:c>
      <x:c r="D34" s="10">
        <x:v>5908.0</x:v>
      </x:c>
      <x:c r="E34" s="10">
        <x:v>9652.0</x:v>
      </x:c>
      <x:c r="F34" s="10">
        <x:v>812.0</x:v>
      </x:c>
      <x:c r="G34" s="10">
        <x:v>843.0</x:v>
      </x:c>
      <x:c r="H34" s="10">
        <x:v>5539.0</x:v>
      </x:c>
    </x:row>
    <x:row r="35" ht="14.25" customHeight="1">
      <x:c r="A35" s="10">
        <x:v>33.0</x:v>
      </x:c>
      <x:c r="B35" s="13" t="s">
        <x:v>75</x:v>
      </x:c>
      <x:c r="C35" s="13" t="s">
        <x:v>79</x:v>
      </x:c>
      <x:c r="D35" s="10">
        <x:v>3440.0</x:v>
      </x:c>
      <x:c r="E35" s="10">
        <x:v>5866.0</x:v>
      </x:c>
      <x:c r="F35" s="10">
        <x:v>401.0</x:v>
      </x:c>
      <x:c r="G35" s="10">
        <x:v>701.0</x:v>
      </x:c>
      <x:c r="H35" s="10">
        <x:v>3522.0</x:v>
      </x:c>
    </x:row>
    <x:row r="36" ht="14.25" customHeight="1">
      <x:c r="A36" s="10">
        <x:v>34.0</x:v>
      </x:c>
      <x:c r="B36" s="13" t="s">
        <x:v>75</x:v>
      </x:c>
      <x:c r="C36" s="13" t="s">
        <x:v>79</x:v>
      </x:c>
      <x:c r="D36" s="10">
        <x:v>6550.0</x:v>
      </x:c>
      <x:c r="E36" s="10">
        <x:v>8488.0</x:v>
      </x:c>
      <x:c r="F36" s="10">
        <x:v>584.0</x:v>
      </x:c>
      <x:c r="G36" s="10">
        <x:v>849.0</x:v>
      </x:c>
      <x:c r="H36" s="10">
        <x:v>1988.0</x:v>
      </x:c>
    </x:row>
    <x:row r="37" ht="14.25" customHeight="1">
      <x:c r="A37" s="10">
        <x:v>35.0</x:v>
      </x:c>
      <x:c r="B37" s="13" t="s">
        <x:v>77</x:v>
      </x:c>
      <x:c r="C37" s="13" t="s">
        <x:v>78</x:v>
      </x:c>
      <x:c r="D37" s="10">
        <x:v>4430.0</x:v>
      </x:c>
      <x:c r="E37" s="10">
        <x:v>7361.0</x:v>
      </x:c>
      <x:c r="F37" s="10">
        <x:v>564.0</x:v>
      </x:c>
      <x:c r="G37" s="10">
        <x:v>531.0</x:v>
      </x:c>
      <x:c r="H37" s="10">
        <x:v>6865.0</x:v>
      </x:c>
    </x:row>
    <x:row r="38" ht="14.25" customHeight="1">
      <x:c r="A38" s="10">
        <x:v>36.0</x:v>
      </x:c>
      <x:c r="B38" s="13" t="s">
        <x:v>75</x:v>
      </x:c>
      <x:c r="C38" s="13" t="s">
        <x:v>76</x:v>
      </x:c>
      <x:c r="D38" s="10">
        <x:v>6862.0</x:v>
      </x:c>
      <x:c r="E38" s="10">
        <x:v>9401.0</x:v>
      </x:c>
      <x:c r="F38" s="10">
        <x:v>672.0</x:v>
      </x:c>
      <x:c r="G38" s="10">
        <x:v>982.0</x:v>
      </x:c>
      <x:c r="H38" s="10">
        <x:v>5315.0</x:v>
      </x:c>
    </x:row>
    <x:row r="39" ht="14.25" customHeight="1">
      <x:c r="A39" s="10">
        <x:v>37.0</x:v>
      </x:c>
      <x:c r="B39" s="13" t="s">
        <x:v>77</x:v>
      </x:c>
      <x:c r="C39" s="13" t="s">
        <x:v>76</x:v>
      </x:c>
      <x:c r="D39" s="10">
        <x:v>4269.0</x:v>
      </x:c>
      <x:c r="E39" s="10">
        <x:v>7203.0</x:v>
      </x:c>
      <x:c r="F39" s="10">
        <x:v>523.0</x:v>
      </x:c>
      <x:c r="G39" s="10">
        <x:v>522.0</x:v>
      </x:c>
      <x:c r="H39" s="10">
        <x:v>7152.0</x:v>
      </x:c>
    </x:row>
    <x:row r="40" ht="14.25" customHeight="1">
      <x:c r="A40" s="10">
        <x:v>38.0</x:v>
      </x:c>
      <x:c r="B40" s="13" t="s">
        <x:v>75</x:v>
      </x:c>
      <x:c r="C40" s="13" t="s">
        <x:v>76</x:v>
      </x:c>
      <x:c r="D40" s="10">
        <x:v>5997.0</x:v>
      </x:c>
      <x:c r="E40" s="10">
        <x:v>9137.0</x:v>
      </x:c>
      <x:c r="F40" s="10">
        <x:v>690.0</x:v>
      </x:c>
      <x:c r="G40" s="10">
        <x:v>926.0</x:v>
      </x:c>
      <x:c r="H40" s="10">
        <x:v>3706.0</x:v>
      </x:c>
    </x:row>
    <x:row r="41" ht="14.25" customHeight="1">
      <x:c r="A41" s="10">
        <x:v>39.0</x:v>
      </x:c>
      <x:c r="B41" s="13" t="s">
        <x:v>77</x:v>
      </x:c>
      <x:c r="C41" s="13" t="s">
        <x:v>76</x:v>
      </x:c>
      <x:c r="D41" s="10">
        <x:v>4245.0</x:v>
      </x:c>
      <x:c r="E41" s="10">
        <x:v>8414.0</x:v>
      </x:c>
      <x:c r="F41" s="10">
        <x:v>469.0</x:v>
      </x:c>
      <x:c r="G41" s="10">
        <x:v>536.0</x:v>
      </x:c>
      <x:c r="H41" s="10">
        <x:v>6468.0</x:v>
      </x:c>
    </x:row>
    <x:row r="42" ht="14.25" customHeight="1">
      <x:c r="A42" s="10">
        <x:v>40.0</x:v>
      </x:c>
      <x:c r="B42" s="13" t="s">
        <x:v>77</x:v>
      </x:c>
      <x:c r="C42" s="13" t="s">
        <x:v>78</x:v>
      </x:c>
      <x:c r="D42" s="10">
        <x:v>3684.0</x:v>
      </x:c>
      <x:c r="E42" s="10">
        <x:v>7215.0</x:v>
      </x:c>
      <x:c r="F42" s="10">
        <x:v>563.0</x:v>
      </x:c>
      <x:c r="G42" s="10">
        <x:v>579.0</x:v>
      </x:c>
      <x:c r="H42" s="10">
        <x:v>2113.0</x:v>
      </x:c>
    </x:row>
    <x:row r="43" ht="14.25" customHeight="1">
      <x:c r="A43" s="10">
        <x:v>41.0</x:v>
      </x:c>
      <x:c r="B43" s="13" t="s">
        <x:v>75</x:v>
      </x:c>
      <x:c r="C43" s="13" t="s">
        <x:v>79</x:v>
      </x:c>
      <x:c r="D43" s="10">
        <x:v>5823.0</x:v>
      </x:c>
      <x:c r="E43" s="10">
        <x:v>8848.0</x:v>
      </x:c>
      <x:c r="F43" s="10">
        <x:v>658.0</x:v>
      </x:c>
      <x:c r="G43" s="10">
        <x:v>949.0</x:v>
      </x:c>
      <x:c r="H43" s="10">
        <x:v>2251.0</x:v>
      </x:c>
    </x:row>
    <x:row r="44" ht="14.25" customHeight="1">
      <x:c r="A44" s="10">
        <x:v>42.0</x:v>
      </x:c>
      <x:c r="B44" s="13" t="s">
        <x:v>75</x:v>
      </x:c>
      <x:c r="C44" s="13" t="s">
        <x:v>80</x:v>
      </x:c>
      <x:c r="D44" s="10">
        <x:v>3649.0</x:v>
      </x:c>
      <x:c r="E44" s="10">
        <x:v>5743.0</x:v>
      </x:c>
      <x:c r="F44" s="10">
        <x:v>379.0</x:v>
      </x:c>
      <x:c r="G44" s="10">
        <x:v>610.0</x:v>
      </x:c>
      <x:c r="H44" s="10">
        <x:v>3581.0</x:v>
      </x:c>
    </x:row>
    <x:row r="45" ht="14.25" customHeight="1">
      <x:c r="A45" s="10">
        <x:v>43.0</x:v>
      </x:c>
      <x:c r="B45" s="13" t="s">
        <x:v>77</x:v>
      </x:c>
      <x:c r="C45" s="13" t="s">
        <x:v>76</x:v>
      </x:c>
      <x:c r="D45" s="10">
        <x:v>8776.0</x:v>
      </x:c>
      <x:c r="E45" s="10">
        <x:v>11899.0</x:v>
      </x:c>
      <x:c r="F45" s="10">
        <x:v>883.0</x:v>
      </x:c>
      <x:c r="G45" s="10">
        <x:v>945.0</x:v>
      </x:c>
      <x:c r="H45" s="10">
        <x:v>3325.0</x:v>
      </x:c>
    </x:row>
    <x:row r="46" ht="14.25" customHeight="1">
      <x:c r="A46" s="10">
        <x:v>44.0</x:v>
      </x:c>
      <x:c r="B46" s="13" t="s">
        <x:v>77</x:v>
      </x:c>
      <x:c r="C46" s="13" t="s">
        <x:v>78</x:v>
      </x:c>
      <x:c r="D46" s="10">
        <x:v>5694.0</x:v>
      </x:c>
      <x:c r="E46" s="10">
        <x:v>9967.0</x:v>
      </x:c>
      <x:c r="F46" s="10">
        <x:v>789.0</x:v>
      </x:c>
      <x:c r="G46" s="10">
        <x:v>867.0</x:v>
      </x:c>
      <x:c r="H46" s="10">
        <x:v>4098.0</x:v>
      </x:c>
    </x:row>
    <x:row r="47" ht="14.25" customHeight="1">
      <x:c r="A47" s="10">
        <x:v>45.0</x:v>
      </x:c>
      <x:c r="B47" s="13" t="s">
        <x:v>75</x:v>
      </x:c>
      <x:c r="C47" s="13" t="s">
        <x:v>76</x:v>
      </x:c>
      <x:c r="D47" s="10">
        <x:v>5268.0</x:v>
      </x:c>
      <x:c r="E47" s="10">
        <x:v>8355.0</x:v>
      </x:c>
      <x:c r="F47" s="10">
        <x:v>567.0</x:v>
      </x:c>
      <x:c r="G47" s="10">
        <x:v>918.0</x:v>
      </x:c>
      <x:c r="H47" s="10">
        <x:v>3725.0</x:v>
      </x:c>
    </x:row>
    <x:row r="48" ht="14.25" customHeight="1">
      <x:c r="A48" s="10">
        <x:v>46.0</x:v>
      </x:c>
      <x:c r="B48" s="13" t="s">
        <x:v>77</x:v>
      </x:c>
      <x:c r="C48" s="13" t="s">
        <x:v>76</x:v>
      </x:c>
      <x:c r="D48" s="10">
        <x:v>4956.0</x:v>
      </x:c>
      <x:c r="E48" s="10">
        <x:v>8005.0</x:v>
      </x:c>
      <x:c r="F48" s="10">
        <x:v>675.0</x:v>
      </x:c>
      <x:c r="G48" s="10">
        <x:v>710.0</x:v>
      </x:c>
      <x:c r="H48" s="10">
        <x:v>3679.0</x:v>
      </x:c>
    </x:row>
    <x:row r="49" ht="14.25" customHeight="1">
      <x:c r="A49" s="10">
        <x:v>47.0</x:v>
      </x:c>
      <x:c r="B49" s="13" t="s">
        <x:v>75</x:v>
      </x:c>
      <x:c r="C49" s="13" t="s">
        <x:v>76</x:v>
      </x:c>
      <x:c r="D49" s="10">
        <x:v>4715.0</x:v>
      </x:c>
      <x:c r="E49" s="10">
        <x:v>9424.0</x:v>
      </x:c>
      <x:c r="F49" s="10">
        <x:v>670.0</x:v>
      </x:c>
      <x:c r="G49" s="10">
        <x:v>982.0</x:v>
      </x:c>
      <x:c r="H49" s="10">
        <x:v>4302.0</x:v>
      </x:c>
    </x:row>
    <x:row r="50" ht="14.25" customHeight="1">
      <x:c r="A50" s="10">
        <x:v>48.0</x:v>
      </x:c>
      <x:c r="B50" s="13" t="s">
        <x:v>75</x:v>
      </x:c>
      <x:c r="C50" s="13" t="s">
        <x:v>76</x:v>
      </x:c>
      <x:c r="D50" s="10">
        <x:v>7731.0</x:v>
      </x:c>
      <x:c r="E50" s="10">
        <x:v>12285.0</x:v>
      </x:c>
      <x:c r="F50" s="10">
        <x:v>840.0</x:v>
      </x:c>
      <x:c r="G50" s="10">
        <x:v>1167.0</x:v>
      </x:c>
      <x:c r="H50" s="10">
        <x:v>2035.0</x:v>
      </x:c>
    </x:row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>
      <x:c r="A81" t="str">
        <x:v>QUESTION 1 — COMPLETE STEP-BY-STEP GUIDE</x:v>
      </x:c>
    </x:row>
    <x:row r="82" ht="14.25" customHeight="1">
      <x:c r="A82" t="str">
        <x:v>Use this guide to complete Question 1 yourself. The original dataset is in A2:H50 (48 restaurants).</x:v>
      </x:c>
    </x:row>
    <x:row r="83" ht="14.25" customHeight="1">
      <x:c r="A83" t="str"/>
    </x:row>
    <x:row r="84" ht="14.25" customHeight="1">
      <x:c r="A84" t="str">
        <x:v>PART 1 — DESCRIPTIVE STATISTICS: Total_Orders_Generated</x:v>
      </x:c>
    </x:row>
    <x:row r="85" ht="14.25" customHeight="1">
      <x:c r="A85" t="str">
        <x:v>1. Click the Data tab on the Excel ribbon.</x:v>
      </x:c>
    </x:row>
    <x:row r="86" ht="14.25" customHeight="1">
      <x:c r="A86" t="str">
        <x:v>2. If you do not see Data Analysis: File &gt; Options &gt; Add-ins &gt; at the bottom choose Excel Add-ins &gt; Go &gt; tick Analysis ToolPak &gt; OK.</x:v>
      </x:c>
    </x:row>
    <x:row r="87" ht="14.25" customHeight="1">
      <x:c r="A87" t="str">
        <x:v>3. Click Data &gt; Data Analysis &gt; Descriptive Statistics &gt; OK.</x:v>
      </x:c>
    </x:row>
    <x:row r="88" ht="14.25" customHeight="1">
      <x:c r="A88" t="str">
        <x:v>4. Input Range: select G2:G50. Include G2 because it contains the heading Total_Orders_Generated.</x:v>
      </x:c>
    </x:row>
    <x:row r="89" ht="14.25" customHeight="1">
      <x:c r="A89" t="str">
        <x:v>5. Choose Grouped By: Columns.</x:v>
      </x:c>
    </x:row>
    <x:row r="90" ht="14.25" customHeight="1">
      <x:c r="A90" t="str">
        <x:v>6. Tick Labels in first row.</x:v>
      </x:c>
    </x:row>
    <x:row r="91" ht="14.25" customHeight="1">
      <x:c r="A91" t="str">
        <x:v>7. Under Output options choose Output Range, then click a blank cell to the right of the dataset, for example J2.</x:v>
      </x:c>
    </x:row>
    <x:row r="92" ht="14.25" customHeight="1">
      <x:c r="A92" t="str">
        <x:v>8. Tick Summary statistics.</x:v>
      </x:c>
    </x:row>
    <x:row r="93" ht="14.25" customHeight="1">
      <x:c r="A93" t="str">
        <x:v>9. Click OK.</x:v>
      </x:c>
    </x:row>
    <x:row r="94" ht="14.25" customHeight="1">
      <x:c r="A94" t="str">
        <x:v>10. From the output, record Mean, Median, Mode, Standard Deviation, and Range.</x:v>
      </x:c>
    </x:row>
    <x:row r="95" ht="14.25" customHeight="1">
      <x:c r="A95" t="str">
        <x:v>EXPECTED ANSWERS: Mean = 811.0208; Median = 857.5; Mode = 949; Standard Deviation = 193.3131; Range = 727.</x:v>
      </x:c>
    </x:row>
    <x:row r="96" ht="14.25" customHeight="1">
      <x:c r="A96" t="str">
        <x:v>Automatic formula checks (optional):</x:v>
      </x:c>
    </x:row>
    <x:row r="97" ht="14.25" customHeight="1">
      <x:c r="A97" t="str">
        <x:v>Mean: =AVERAGE(G3:G50)</x:v>
      </x:c>
    </x:row>
    <x:row r="98" ht="14.25" customHeight="1">
      <x:c r="A98" t="str">
        <x:v>Median: =MEDIAN(G3:G50)</x:v>
      </x:c>
    </x:row>
    <x:row r="99" ht="14.25" customHeight="1">
      <x:c r="A99" t="str">
        <x:v>Mode: =MODE.SNGL(G3:G50)</x:v>
      </x:c>
    </x:row>
    <x:row r="100" ht="14.25" customHeight="1">
      <x:c r="A100" t="str">
        <x:v>Standard deviation: =STDEV.S(G3:G50)</x:v>
      </x:c>
    </x:row>
    <x:row r="101" ht="14.25" customHeight="1">
      <x:c r="A101" t="str">
        <x:v>Range: =MAX(G3:G50)-MIN(G3:G50)</x:v>
      </x:c>
    </x:row>
    <x:row r="102" ht="14.25" customHeight="1">
      <x:c r="A102" t="str"/>
    </x:row>
    <x:row r="103" ht="14.25" customHeight="1">
      <x:c r="A103" t="str">
        <x:v>PART 2 — CORRELATION: Unique_Viewers_Reached vs App_Impressions</x:v>
      </x:c>
    </x:row>
    <x:row r="104" ht="14.25" customHeight="1">
      <x:c r="A104" t="str">
        <x:v>1. Click Data &gt; Data Analysis &gt; Correlation &gt; OK.</x:v>
      </x:c>
    </x:row>
    <x:row r="105" ht="14.25" customHeight="1">
      <x:c r="A105" t="str">
        <x:v>2. Input Range: D2:E50.</x:v>
      </x:c>
    </x:row>
    <x:row r="106" ht="14.25" customHeight="1">
      <x:c r="A106" t="str">
        <x:v>3. Choose Grouped By: Columns and tick Labels in first row.</x:v>
      </x:c>
    </x:row>
    <x:row r="107" ht="14.25" customHeight="1">
      <x:c r="A107" t="str">
        <x:v>4. Choose Output Range and select a blank area, for example J15.</x:v>
      </x:c>
    </x:row>
    <x:row r="108" ht="14.25" customHeight="1">
      <x:c r="A108" t="str">
        <x:v>5. Click OK.</x:v>
      </x:c>
    </x:row>
    <x:row r="109" ht="14.25" customHeight="1">
      <x:c r="A109" t="str">
        <x:v>6. Read the off-diagonal correlation between Unique_Viewers_Reached and App_Impressions.</x:v>
      </x:c>
    </x:row>
    <x:row r="110" ht="14.25" customHeight="1">
      <x:c r="A110" t="str">
        <x:v>EXPECTED CORRELATION: r = 0.931833 (approximately 0.932).</x:v>
      </x:c>
    </x:row>
    <x:row r="111" ht="14.25" customHeight="1">
      <x:c r="A111" t="str">
        <x:v>Interpretation to write: There is a very strong positive relationship. Restaurants that reach more unique viewers generally also generate more app impressions.</x:v>
      </x:c>
    </x:row>
    <x:row r="112" ht="14.25" customHeight="1">
      <x:c r="A112" t="str">
        <x:v>Automatic formula check: =CORREL(D3:D50,E3:E50)</x:v>
      </x:c>
    </x:row>
    <x:row r="113" ht="14.25" customHeight="1">
      <x:c r="A113" t="str"/>
    </x:row>
    <x:row r="114" ht="14.25" customHeight="1">
      <x:c r="A114" t="str">
        <x:v>PART 3A — SIMPLE REGRESSION: Total_Orders_Generated predicted by Engaged_Customers</x:v>
      </x:c>
    </x:row>
    <x:row r="115" ht="14.25" customHeight="1">
      <x:c r="A115" t="str">
        <x:v>1. Click Data &gt; Data Analysis &gt; Regression &gt; OK.</x:v>
      </x:c>
    </x:row>
    <x:row r="116" ht="14.25" customHeight="1">
      <x:c r="A116" t="str">
        <x:v>2. Input Y Range: G2:G50 (dependent variable = Total_Orders_Generated).</x:v>
      </x:c>
    </x:row>
    <x:row r="117" ht="14.25" customHeight="1">
      <x:c r="A117" t="str">
        <x:v>3. Input X Range: F2:F50 (independent variable = Engaged_Customers).</x:v>
      </x:c>
    </x:row>
    <x:row r="118" ht="14.25" customHeight="1">
      <x:c r="A118" t="str">
        <x:v>4. Tick Labels. Do NOT tick Constant is Zero.</x:v>
      </x:c>
    </x:row>
    <x:row r="119" ht="14.25" customHeight="1">
      <x:c r="A119" t="str">
        <x:v>5. Choose Output Range and select a blank area such as J25.</x:v>
      </x:c>
    </x:row>
    <x:row r="120" ht="14.25" customHeight="1">
      <x:c r="A120" t="str">
        <x:v>6. Click OK.</x:v>
      </x:c>
    </x:row>
    <x:row r="121" ht="14.25" customHeight="1">
      <x:c r="A121" t="str">
        <x:v>7. In the Coefficients table, read the Intercept and the Engaged_Customers coefficient.</x:v>
      </x:c>
    </x:row>
    <x:row r="122" ht="14.25" customHeight="1">
      <x:c r="A122" t="str">
        <x:v>EXPECTED: Intercept = 181.7144; Engaged_Customers coefficient = 1.006454.</x:v>
      </x:c>
    </x:row>
    <x:row r="123" ht="14.25" customHeight="1">
      <x:c r="A123" t="str">
        <x:v>Regression equation: Total_Orders_Generated = 181.7144 + 1.006454 × Engaged_Customers.</x:v>
      </x:c>
    </x:row>
    <x:row r="124" ht="14.25" customHeight="1">
      <x:c r="A124" t="str">
        <x:v>Coefficient interpretation: Holding the model structure constant, each additional engaged customer is associated with about 1.01 additional generated orders on average.</x:v>
      </x:c>
    </x:row>
    <x:row r="125" ht="14.25" customHeight="1">
      <x:c r="A125" t="str">
        <x:v>8. Find R Square and Adjusted R Square in Regression Statistics.</x:v>
      </x:c>
    </x:row>
    <x:row r="126" ht="14.25" customHeight="1">
      <x:c r="A126" t="str">
        <x:v>EXPECTED: R Square = 0.531689; Adjusted R Square = 0.521509.</x:v>
      </x:c>
    </x:row>
    <x:row r="127" ht="14.25" customHeight="1">
      <x:c r="A127" t="str"/>
    </x:row>
    <x:row r="128" ht="14.25" customHeight="1">
      <x:c r="A128" t="str">
        <x:v>PART 3B — SIMPLE REGRESSION: Total_Orders_Generated predicted by App_Impressions</x:v>
      </x:c>
    </x:row>
    <x:row r="129" ht="14.25" customHeight="1">
      <x:c r="A129" t="str">
        <x:v>1. Click Data &gt; Data Analysis &gt; Regression &gt; OK again.</x:v>
      </x:c>
    </x:row>
    <x:row r="130" ht="14.25" customHeight="1">
      <x:c r="A130" t="str">
        <x:v>2. Input Y Range: G2:G50.</x:v>
      </x:c>
    </x:row>
    <x:row r="131" ht="14.25" customHeight="1">
      <x:c r="A131" t="str">
        <x:v>3. Input X Range: E2:E50 (App_Impressions).</x:v>
      </x:c>
    </x:row>
    <x:row r="132" ht="14.25" customHeight="1">
      <x:c r="A132" t="str">
        <x:v>4. Tick Labels. Do NOT tick Constant is Zero.</x:v>
      </x:c>
    </x:row>
    <x:row r="133" ht="14.25" customHeight="1">
      <x:c r="A133" t="str">
        <x:v>5. Choose another blank output area, for example R25.</x:v>
      </x:c>
    </x:row>
    <x:row r="134" ht="14.25" customHeight="1">
      <x:c r="A134" t="str">
        <x:v>6. Click OK.</x:v>
      </x:c>
    </x:row>
    <x:row r="135" ht="14.25" customHeight="1">
      <x:c r="A135" t="str">
        <x:v>EXPECTED: Intercept = 158.6595; App_Impressions coefficient = 0.075148.</x:v>
      </x:c>
    </x:row>
    <x:row r="136" ht="14.25" customHeight="1">
      <x:c r="A136" t="str">
        <x:v>Regression equation: Total_Orders_Generated = 158.6595 + 0.075148 × App_Impressions.</x:v>
      </x:c>
    </x:row>
    <x:row r="137" ht="14.25" customHeight="1">
      <x:c r="A137" t="str">
        <x:v>Coefficient interpretation: Each additional app impression is associated with about 0.075 additional orders; equivalently, 1,000 additional impressions are associated with about 75.15 additional orders on average.</x:v>
      </x:c>
    </x:row>
    <x:row r="138" ht="14.25" customHeight="1">
      <x:c r="A138" t="str">
        <x:v>EXPECTED: R Square = 0.514863; Adjusted R Square = 0.504317.</x:v>
      </x:c>
    </x:row>
    <x:row r="139" ht="14.25" customHeight="1">
      <x:c r="A139" t="str"/>
    </x:row>
    <x:row r="140" ht="14.25" customHeight="1">
      <x:c r="A140" t="str">
        <x:v>PART 3C — PREDICTIONS</x:v>
      </x:c>
    </x:row>
    <x:row r="141" ht="14.25" customHeight="1">
      <x:c r="A141" t="str">
        <x:v>Engaged_Customers model, when Engaged_Customers = 700:</x:v>
      </x:c>
    </x:row>
    <x:row r="142" ht="14.25" customHeight="1">
      <x:c r="A142" t="str">
        <x:v>Use =181.71435256+(1.00645424*700)</x:v>
      </x:c>
    </x:row>
    <x:row r="143" ht="14.25" customHeight="1">
      <x:c r="A143" t="str">
        <x:v>EXPECTED PREDICTION = 886.2323 orders (about 886 orders).</x:v>
      </x:c>
    </x:row>
    <x:row r="144" ht="14.25" customHeight="1">
      <x:c r="A144" t="str">
        <x:v>App_Impressions model, when App_Impressions = 9,500:</x:v>
      </x:c>
    </x:row>
    <x:row r="145" ht="14.25" customHeight="1">
      <x:c r="A145" t="str">
        <x:v>Use =158.659547+(0.0751479923*9500)</x:v>
      </x:c>
    </x:row>
    <x:row r="146" ht="14.25" customHeight="1">
      <x:c r="A146" t="str">
        <x:v>EXPECTED PREDICTION = 872.5655 orders (about 873 orders).</x:v>
      </x:c>
    </x:row>
    <x:row r="147" ht="14.25" customHeight="1">
      <x:c r="A147" t="str"/>
    </x:row>
    <x:row r="148" ht="14.25" customHeight="1">
      <x:c r="A148" t="str">
        <x:v>PART 3D — ADJUSTED R-SQUARED COMPARISON</x:v>
      </x:c>
    </x:row>
    <x:row r="149" ht="14.25" customHeight="1">
      <x:c r="A149" t="str">
        <x:v>Engaged_Customers model Adjusted R² = 0.521509 (about 52.15%).</x:v>
      </x:c>
    </x:row>
    <x:row r="150" ht="14.25" customHeight="1">
      <x:c r="A150" t="str">
        <x:v>App_Impressions model Adjusted R² = 0.504317 (about 50.43%).</x:v>
      </x:c>
    </x:row>
    <x:row r="151" ht="14.25" customHeight="1">
      <x:c r="A151" t="str">
        <x:v>Answer to write: Adjusted R² shows the proportion of variation in Total_Orders_Generated explained by the model while accounting for the number of predictors. The Engaged_Customers model fits slightly better because its Adjusted R² (52.15%) is higher than the App_Impressions model (50.43%).</x:v>
      </x:c>
    </x:row>
    <x:row r="152" ht="14.25" customHeight="1">
      <x:c r="A152" t="str"/>
    </x:row>
    <x:row r="153" ht="14.25" customHeight="1">
      <x:c r="A153" t="str">
        <x:v>PART 4 — CONDITIONAL FORMATTING: TOP 10% OF Total_Orders_Generated</x:v>
      </x:c>
    </x:row>
    <x:row r="154" ht="14.25" customHeight="1">
      <x:c r="A154" t="str">
        <x:v>1. Select G3:G50 only (do not include the heading).</x:v>
      </x:c>
    </x:row>
    <x:row r="155" ht="14.25" customHeight="1">
      <x:c r="A155" t="str">
        <x:v>2. Go to Home &gt; Conditional Formatting &gt; Top/Bottom Rules &gt; Top 10%.</x:v>
      </x:c>
    </x:row>
    <x:row r="156" ht="14.25" customHeight="1">
      <x:c r="A156" t="str">
        <x:v>3. Keep 10% and choose any available highlight style required by your exam, then click OK.</x:v>
      </x:c>
    </x:row>
    <x:row r="157" ht="14.25" customHeight="1">
      <x:c r="A157" t="str">
        <x:v>4. Excel should highlight the top 10% of the 48 restaurants (approximately the top 5 values).</x:v>
      </x:c>
    </x:row>
    <x:row r="158" ht="14.25" customHeight="1">
      <x:c r="A158" t="str">
        <x:v>5. Look across the highlighted rows at Restaurant_Type (column B) and Time_Slot (column C).</x:v>
      </x:c>
    </x:row>
    <x:row r="159" ht="14.25" customHeight="1">
      <x:c r="A159" t="str">
        <x:v>EXPECTED TOP FIVE: Restaurant IDs 48, 14, 28, 8, and 19.</x:v>
      </x:c>
    </x:row>
    <x:row r="160" ht="14.25" customHeight="1">
      <x:c r="A160" t="str">
        <x:v>COMMON TRAIT TO WRITE: All five top-performing restaurants are Fast Casual and all operate in the Evening time slot.</x:v>
      </x:c>
    </x:row>
    <x:row r="161" ht="14.25" customHeight="1">
      <x:c r="A161" t="str"/>
    </x:row>
    <x:row r="162" ht="14.25" customHeight="1">
      <x:c r="A162" t="str">
        <x:v>QUICK FINAL ANSWER CHECK</x:v>
      </x:c>
    </x:row>
    <x:row r="163" ht="14.25" customHeight="1">
      <x:c r="A163" t="str">
        <x:v>Descriptive: Mean 811.0208 | Median 857.5 | Mode 949 | SD 193.3131 | Range 727</x:v>
      </x:c>
    </x:row>
    <x:row r="164" ht="14.25" customHeight="1">
      <x:c r="A164" t="str">
        <x:v>Correlation D vs E: 0.931833, very strong positive.</x:v>
      </x:c>
    </x:row>
    <x:row r="165" ht="14.25" customHeight="1">
      <x:c r="A165" t="str">
        <x:v>Engaged model: Orders = 181.7144 + 1.006454(Engaged); Adj R² = 0.521509; prediction at 700 = 886.2323.</x:v>
      </x:c>
    </x:row>
    <x:row r="166" ht="14.25" customHeight="1">
      <x:c r="A166" t="str">
        <x:v>Impressions model: Orders = 158.6595 + 0.075148(Impressions); Adj R² = 0.504317; prediction at 9,500 = 872.5655.</x:v>
      </x:c>
    </x:row>
    <x:row r="167" ht="14.25" customHeight="1">
      <x:c r="A167" t="str">
        <x:v>Better single-variable model: Engaged_Customers.</x:v>
      </x:c>
    </x:row>
    <x:row r="168" ht="14.25" customHeight="1">
      <x:c r="A168" t="str">
        <x:v>Top 10% common trait: Fast Casual + Evening.</x:v>
      </x:c>
    </x:row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1" customWidth="1"/>
    <x:col min="2" max="2" width="18" customWidth="1"/>
    <x:col min="3" max="3" width="16" customWidth="1"/>
    <x:col min="4" max="4" width="19" customWidth="1"/>
    <x:col min="5" max="5" width="23" customWidth="1"/>
    <x:col min="6" max="6" width="22" customWidth="1"/>
    <x:col min="7" max="26" width="8.710000038146973" customWidth="1"/>
  </x:cols>
  <x:sheetData>
    <x:row r="1" ht="14.25" customHeight="1">
      <x:c r="A1" s="2" t="s">
        <x:v>81</x:v>
      </x:c>
    </x:row>
    <x:row r="2" ht="14.25" customHeight="1">
      <x:c r="A2" s="6" t="s">
        <x:v>82</x:v>
      </x:c>
      <x:c r="B2" s="6" t="s">
        <x:v>83</x:v>
      </x:c>
      <x:c r="C2" s="6" t="s">
        <x:v>84</x:v>
      </x:c>
      <x:c r="D2" s="6" t="s">
        <x:v>85</x:v>
      </x:c>
      <x:c r="E2" s="6" t="s">
        <x:v>86</x:v>
      </x:c>
      <x:c r="F2" s="6" t="s">
        <x:v>87</x:v>
      </x:c>
    </x:row>
    <x:row r="3" ht="14.25" customHeight="1">
      <x:c r="A3" s="10">
        <x:v>1.0</x:v>
      </x:c>
      <x:c r="B3" s="10">
        <x:v>9.0</x:v>
      </x:c>
      <x:c r="C3" s="10">
        <x:v>24.0</x:v>
      </x:c>
      <x:c r="D3" s="10">
        <x:v>63.0</x:v>
      </x:c>
      <x:c r="E3" s="10">
        <x:v>5.0</x:v>
      </x:c>
      <x:c r="F3" s="10">
        <x:v>2516.0</x:v>
      </x:c>
    </x:row>
    <x:row r="4" ht="14.25" customHeight="1">
      <x:c r="A4" s="10">
        <x:v>2.0</x:v>
      </x:c>
      <x:c r="B4" s="10">
        <x:v>1.0</x:v>
      </x:c>
      <x:c r="C4" s="10">
        <x:v>11.0</x:v>
      </x:c>
      <x:c r="D4" s="10">
        <x:v>40.0</x:v>
      </x:c>
      <x:c r="E4" s="10">
        <x:v>4.0</x:v>
      </x:c>
      <x:c r="F4" s="10">
        <x:v>1270.0</x:v>
      </x:c>
    </x:row>
    <x:row r="5" ht="14.25" customHeight="1">
      <x:c r="A5" s="10">
        <x:v>3.0</x:v>
      </x:c>
      <x:c r="B5" s="10">
        <x:v>4.0</x:v>
      </x:c>
      <x:c r="C5" s="10">
        <x:v>18.0</x:v>
      </x:c>
      <x:c r="D5" s="10">
        <x:v>38.0</x:v>
      </x:c>
      <x:c r="E5" s="10">
        <x:v>5.0</x:v>
      </x:c>
      <x:c r="F5" s="10">
        <x:v>1773.0</x:v>
      </x:c>
    </x:row>
    <x:row r="6" ht="14.25" customHeight="1">
      <x:c r="A6" s="10">
        <x:v>4.0</x:v>
      </x:c>
      <x:c r="B6" s="10">
        <x:v>2.0</x:v>
      </x:c>
      <x:c r="C6" s="10">
        <x:v>8.0</x:v>
      </x:c>
      <x:c r="D6" s="10">
        <x:v>41.0</x:v>
      </x:c>
      <x:c r="E6" s="10">
        <x:v>3.0</x:v>
      </x:c>
      <x:c r="F6" s="10">
        <x:v>1335.0</x:v>
      </x:c>
    </x:row>
    <x:row r="7" ht="14.25" customHeight="1">
      <x:c r="A7" s="10">
        <x:v>5.0</x:v>
      </x:c>
      <x:c r="B7" s="10">
        <x:v>9.0</x:v>
      </x:c>
      <x:c r="C7" s="10">
        <x:v>29.0</x:v>
      </x:c>
      <x:c r="D7" s="10">
        <x:v>55.0</x:v>
      </x:c>
      <x:c r="E7" s="10">
        <x:v>4.0</x:v>
      </x:c>
      <x:c r="F7" s="10">
        <x:v>2434.0</x:v>
      </x:c>
    </x:row>
    <x:row r="8" ht="14.25" customHeight="1">
      <x:c r="A8" s="10">
        <x:v>6.0</x:v>
      </x:c>
      <x:c r="B8" s="10">
        <x:v>1.0</x:v>
      </x:c>
      <x:c r="C8" s="10">
        <x:v>6.0</x:v>
      </x:c>
      <x:c r="D8" s="10">
        <x:v>29.0</x:v>
      </x:c>
      <x:c r="E8" s="10">
        <x:v>3.0</x:v>
      </x:c>
      <x:c r="F8" s="10">
        <x:v>1235.0</x:v>
      </x:c>
    </x:row>
    <x:row r="9" ht="14.25" customHeight="1">
      <x:c r="A9" s="10">
        <x:v>7.0</x:v>
      </x:c>
      <x:c r="B9" s="10">
        <x:v>8.0</x:v>
      </x:c>
      <x:c r="C9" s="10">
        <x:v>31.0</x:v>
      </x:c>
      <x:c r="D9" s="10">
        <x:v>56.0</x:v>
      </x:c>
      <x:c r="E9" s="10">
        <x:v>4.0</x:v>
      </x:c>
      <x:c r="F9" s="10">
        <x:v>2571.0</x:v>
      </x:c>
    </x:row>
    <x:row r="10" ht="14.25" customHeight="1">
      <x:c r="A10" s="10">
        <x:v>8.0</x:v>
      </x:c>
      <x:c r="B10" s="10">
        <x:v>8.0</x:v>
      </x:c>
      <x:c r="C10" s="10">
        <x:v>30.0</x:v>
      </x:c>
      <x:c r="D10" s="10">
        <x:v>63.0</x:v>
      </x:c>
      <x:c r="E10" s="10">
        <x:v>5.0</x:v>
      </x:c>
      <x:c r="F10" s="10">
        <x:v>2687.0</x:v>
      </x:c>
    </x:row>
    <x:row r="11" ht="14.25" customHeight="1">
      <x:c r="A11" s="10">
        <x:v>9.0</x:v>
      </x:c>
      <x:c r="B11" s="10">
        <x:v>2.0</x:v>
      </x:c>
      <x:c r="C11" s="10">
        <x:v>12.0</x:v>
      </x:c>
      <x:c r="D11" s="10">
        <x:v>30.0</x:v>
      </x:c>
      <x:c r="E11" s="10">
        <x:v>4.0</x:v>
      </x:c>
      <x:c r="F11" s="10">
        <x:v>1227.0</x:v>
      </x:c>
    </x:row>
    <x:row r="12" ht="14.25" customHeight="1">
      <x:c r="A12" s="10">
        <x:v>10.0</x:v>
      </x:c>
      <x:c r="B12" s="10">
        <x:v>9.0</x:v>
      </x:c>
      <x:c r="C12" s="10">
        <x:v>20.0</x:v>
      </x:c>
      <x:c r="D12" s="10">
        <x:v>64.0</x:v>
      </x:c>
      <x:c r="E12" s="10">
        <x:v>4.0</x:v>
      </x:c>
      <x:c r="F12" s="10">
        <x:v>2275.0</x:v>
      </x:c>
    </x:row>
    <x:row r="13" ht="14.25" customHeight="1">
      <x:c r="A13" s="10">
        <x:v>11.0</x:v>
      </x:c>
      <x:c r="B13" s="10">
        <x:v>7.0</x:v>
      </x:c>
      <x:c r="C13" s="10">
        <x:v>21.0</x:v>
      </x:c>
      <x:c r="D13" s="10">
        <x:v>49.0</x:v>
      </x:c>
      <x:c r="E13" s="10">
        <x:v>3.0</x:v>
      </x:c>
      <x:c r="F13" s="10">
        <x:v>2177.0</x:v>
      </x:c>
    </x:row>
    <x:row r="14" ht="14.25" customHeight="1">
      <x:c r="A14" s="10">
        <x:v>12.0</x:v>
      </x:c>
      <x:c r="B14" s="10">
        <x:v>8.0</x:v>
      </x:c>
      <x:c r="C14" s="10">
        <x:v>14.0</x:v>
      </x:c>
      <x:c r="D14" s="10">
        <x:v>54.0</x:v>
      </x:c>
      <x:c r="E14" s="10">
        <x:v>6.0</x:v>
      </x:c>
      <x:c r="F14" s="10">
        <x:v>2219.0</x:v>
      </x:c>
    </x:row>
    <x:row r="15" ht="14.25" customHeight="1">
      <x:c r="A15" s="10">
        <x:v>13.0</x:v>
      </x:c>
      <x:c r="B15" s="10">
        <x:v>11.0</x:v>
      </x:c>
      <x:c r="C15" s="10">
        <x:v>17.0</x:v>
      </x:c>
      <x:c r="D15" s="10">
        <x:v>70.0</x:v>
      </x:c>
      <x:c r="E15" s="10">
        <x:v>8.0</x:v>
      </x:c>
      <x:c r="F15" s="10">
        <x:v>2612.0</x:v>
      </x:c>
    </x:row>
    <x:row r="16" ht="14.25" customHeight="1">
      <x:c r="A16" s="10">
        <x:v>14.0</x:v>
      </x:c>
      <x:c r="B16" s="10">
        <x:v>2.0</x:v>
      </x:c>
      <x:c r="C16" s="10">
        <x:v>14.0</x:v>
      </x:c>
      <x:c r="D16" s="10">
        <x:v>31.0</x:v>
      </x:c>
      <x:c r="E16" s="10">
        <x:v>3.0</x:v>
      </x:c>
      <x:c r="F16" s="10">
        <x:v>1196.0</x:v>
      </x:c>
    </x:row>
    <x:row r="17" ht="14.25" customHeight="1">
      <x:c r="A17" s="10">
        <x:v>15.0</x:v>
      </x:c>
      <x:c r="B17" s="10">
        <x:v>5.0</x:v>
      </x:c>
      <x:c r="C17" s="10">
        <x:v>10.0</x:v>
      </x:c>
      <x:c r="D17" s="10">
        <x:v>52.0</x:v>
      </x:c>
      <x:c r="E17" s="10">
        <x:v>4.0</x:v>
      </x:c>
      <x:c r="F17" s="10">
        <x:v>1762.0</x:v>
      </x:c>
    </x:row>
    <x:row r="18" ht="14.25" customHeight="1">
      <x:c r="A18" s="10">
        <x:v>16.0</x:v>
      </x:c>
      <x:c r="B18" s="10">
        <x:v>6.0</x:v>
      </x:c>
      <x:c r="C18" s="10">
        <x:v>22.0</x:v>
      </x:c>
      <x:c r="D18" s="10">
        <x:v>58.0</x:v>
      </x:c>
      <x:c r="E18" s="10">
        <x:v>4.0</x:v>
      </x:c>
      <x:c r="F18" s="10">
        <x:v>2220.0</x:v>
      </x:c>
    </x:row>
    <x:row r="19" ht="14.25" customHeight="1">
      <x:c r="A19" s="10">
        <x:v>17.0</x:v>
      </x:c>
      <x:c r="B19" s="10">
        <x:v>4.0</x:v>
      </x:c>
      <x:c r="C19" s="10">
        <x:v>13.0</x:v>
      </x:c>
      <x:c r="D19" s="10">
        <x:v>47.0</x:v>
      </x:c>
      <x:c r="E19" s="10">
        <x:v>5.0</x:v>
      </x:c>
      <x:c r="F19" s="10">
        <x:v>2051.0</x:v>
      </x:c>
    </x:row>
    <x:row r="20" ht="14.25" customHeight="1">
      <x:c r="A20" s="10">
        <x:v>18.0</x:v>
      </x:c>
      <x:c r="B20" s="10">
        <x:v>1.0</x:v>
      </x:c>
      <x:c r="C20" s="10">
        <x:v>9.0</x:v>
      </x:c>
      <x:c r="D20" s="10">
        <x:v>32.0</x:v>
      </x:c>
      <x:c r="E20" s="10">
        <x:v>3.0</x:v>
      </x:c>
      <x:c r="F20" s="10">
        <x:v>1169.0</x:v>
      </x:c>
    </x:row>
    <x:row r="21" ht="14.25" customHeight="1">
      <x:c r="A21" s="10">
        <x:v>19.0</x:v>
      </x:c>
      <x:c r="B21" s="10">
        <x:v>10.0</x:v>
      </x:c>
      <x:c r="C21" s="10">
        <x:v>35.0</x:v>
      </x:c>
      <x:c r="D21" s="10">
        <x:v>79.0</x:v>
      </x:c>
      <x:c r="E21" s="10">
        <x:v>5.0</x:v>
      </x:c>
      <x:c r="F21" s="10">
        <x:v>2805.0</x:v>
      </x:c>
    </x:row>
    <x:row r="22" ht="14.25" customHeight="1">
      <x:c r="A22" s="10">
        <x:v>20.0</x:v>
      </x:c>
      <x:c r="B22" s="10">
        <x:v>2.0</x:v>
      </x:c>
      <x:c r="C22" s="10">
        <x:v>12.0</x:v>
      </x:c>
      <x:c r="D22" s="10">
        <x:v>33.0</x:v>
      </x:c>
      <x:c r="E22" s="10">
        <x:v>3.0</x:v>
      </x:c>
      <x:c r="F22" s="10">
        <x:v>1321.0</x:v>
      </x:c>
    </x:row>
    <x:row r="23" ht="14.25" customHeight="1">
      <x:c r="A23" s="10">
        <x:v>21.0</x:v>
      </x:c>
      <x:c r="B23" s="10">
        <x:v>11.0</x:v>
      </x:c>
      <x:c r="C23" s="10">
        <x:v>38.0</x:v>
      </x:c>
      <x:c r="D23" s="10">
        <x:v>67.0</x:v>
      </x:c>
      <x:c r="E23" s="10">
        <x:v>6.0</x:v>
      </x:c>
      <x:c r="F23" s="10">
        <x:v>2986.0</x:v>
      </x:c>
    </x:row>
    <x:row r="24" ht="14.25" customHeight="1">
      <x:c r="A24" s="10">
        <x:v>22.0</x:v>
      </x:c>
      <x:c r="B24" s="10">
        <x:v>7.0</x:v>
      </x:c>
      <x:c r="C24" s="10">
        <x:v>22.0</x:v>
      </x:c>
      <x:c r="D24" s="10">
        <x:v>52.0</x:v>
      </x:c>
      <x:c r="E24" s="10">
        <x:v>4.0</x:v>
      </x:c>
      <x:c r="F24" s="10">
        <x:v>2186.0</x:v>
      </x:c>
    </x:row>
    <x:row r="25" ht="14.25" customHeight="1">
      <x:c r="A25" s="10">
        <x:v>23.0</x:v>
      </x:c>
      <x:c r="B25" s="10">
        <x:v>2.0</x:v>
      </x:c>
      <x:c r="C25" s="10">
        <x:v>11.0</x:v>
      </x:c>
      <x:c r="D25" s="10">
        <x:v>30.0</x:v>
      </x:c>
      <x:c r="E25" s="10">
        <x:v>5.0</x:v>
      </x:c>
      <x:c r="F25" s="10">
        <x:v>1376.0</x:v>
      </x:c>
    </x:row>
    <x:row r="26" ht="14.25" customHeight="1">
      <x:c r="A26" s="10">
        <x:v>24.0</x:v>
      </x:c>
      <x:c r="B26" s="10">
        <x:v>3.0</x:v>
      </x:c>
      <x:c r="C26" s="10">
        <x:v>16.0</x:v>
      </x:c>
      <x:c r="D26" s="10">
        <x:v>33.0</x:v>
      </x:c>
      <x:c r="E26" s="10">
        <x:v>4.0</x:v>
      </x:c>
      <x:c r="F26" s="10">
        <x:v>1439.0</x:v>
      </x:c>
    </x:row>
    <x:row r="27" ht="14.25" customHeight="1">
      <x:c r="A27" s="10">
        <x:v>25.0</x:v>
      </x:c>
      <x:c r="B27" s="10">
        <x:v>11.0</x:v>
      </x:c>
      <x:c r="C27" s="10">
        <x:v>41.0</x:v>
      </x:c>
      <x:c r="D27" s="10">
        <x:v>73.0</x:v>
      </x:c>
      <x:c r="E27" s="10">
        <x:v>5.0</x:v>
      </x:c>
      <x:c r="F27" s="10">
        <x:v>3042.0</x:v>
      </x:c>
    </x:row>
    <x:row r="28" ht="14.25" customHeight="1">
      <x:c r="A28" s="10">
        <x:v>26.0</x:v>
      </x:c>
      <x:c r="B28" s="10">
        <x:v>3.0</x:v>
      </x:c>
      <x:c r="C28" s="10">
        <x:v>11.0</x:v>
      </x:c>
      <x:c r="D28" s="10">
        <x:v>46.0</x:v>
      </x:c>
      <x:c r="E28" s="10">
        <x:v>3.0</x:v>
      </x:c>
      <x:c r="F28" s="10">
        <x:v>1583.0</x:v>
      </x:c>
    </x:row>
    <x:row r="29" ht="14.25" customHeight="1">
      <x:c r="A29" s="10">
        <x:v>27.0</x:v>
      </x:c>
      <x:c r="B29" s="10">
        <x:v>6.0</x:v>
      </x:c>
      <x:c r="C29" s="10">
        <x:v>20.0</x:v>
      </x:c>
      <x:c r="D29" s="10">
        <x:v>44.0</x:v>
      </x:c>
      <x:c r="E29" s="10">
        <x:v>5.0</x:v>
      </x:c>
      <x:c r="F29" s="10">
        <x:v>2092.0</x:v>
      </x:c>
    </x:row>
    <x:row r="30" ht="14.25" customHeight="1">
      <x:c r="A30" s="10">
        <x:v>28.0</x:v>
      </x:c>
      <x:c r="B30" s="10">
        <x:v>6.0</x:v>
      </x:c>
      <x:c r="C30" s="10">
        <x:v>27.0</x:v>
      </x:c>
      <x:c r="D30" s="10">
        <x:v>53.0</x:v>
      </x:c>
      <x:c r="E30" s="10">
        <x:v>5.0</x:v>
      </x:c>
      <x:c r="F30" s="10">
        <x:v>1919.0</x:v>
      </x:c>
    </x:row>
    <x:row r="31" ht="14.25" customHeight="1">
      <x:c r="A31" s="10">
        <x:v>29.0</x:v>
      </x:c>
      <x:c r="B31" s="10">
        <x:v>7.0</x:v>
      </x:c>
      <x:c r="C31" s="10">
        <x:v>23.0</x:v>
      </x:c>
      <x:c r="D31" s="10">
        <x:v>52.0</x:v>
      </x:c>
      <x:c r="E31" s="10">
        <x:v>5.0</x:v>
      </x:c>
      <x:c r="F31" s="10">
        <x:v>2073.0</x:v>
      </x:c>
    </x:row>
    <x:row r="32" ht="14.25" customHeight="1">
      <x:c r="A32" s="10">
        <x:v>30.0</x:v>
      </x:c>
      <x:c r="B32" s="10">
        <x:v>1.0</x:v>
      </x:c>
      <x:c r="C32" s="10">
        <x:v>8.0</x:v>
      </x:c>
      <x:c r="D32" s="10">
        <x:v>36.0</x:v>
      </x:c>
      <x:c r="E32" s="10">
        <x:v>4.0</x:v>
      </x:c>
      <x:c r="F32" s="10">
        <x:v>1208.0</x:v>
      </x:c>
    </x:row>
    <x:row r="33" ht="14.25" customHeight="1">
      <x:c r="A33" s="10">
        <x:v>31.0</x:v>
      </x:c>
      <x:c r="B33" s="10">
        <x:v>10.0</x:v>
      </x:c>
      <x:c r="C33" s="10">
        <x:v>25.0</x:v>
      </x:c>
      <x:c r="D33" s="10">
        <x:v>54.0</x:v>
      </x:c>
      <x:c r="E33" s="10">
        <x:v>5.0</x:v>
      </x:c>
      <x:c r="F33" s="10">
        <x:v>2393.0</x:v>
      </x:c>
    </x:row>
    <x:row r="34" ht="14.25" customHeight="1">
      <x:c r="A34" s="10">
        <x:v>32.0</x:v>
      </x:c>
      <x:c r="B34" s="10">
        <x:v>5.0</x:v>
      </x:c>
      <x:c r="C34" s="10">
        <x:v>16.0</x:v>
      </x:c>
      <x:c r="D34" s="10">
        <x:v>39.0</x:v>
      </x:c>
      <x:c r="E34" s="10">
        <x:v>4.0</x:v>
      </x:c>
      <x:c r="F34" s="10">
        <x:v>1828.0</x:v>
      </x:c>
    </x:row>
    <x:row r="35" ht="14.25" customHeight="1">
      <x:c r="A35" s="10">
        <x:v>33.0</x:v>
      </x:c>
      <x:c r="B35" s="10">
        <x:v>1.0</x:v>
      </x:c>
      <x:c r="C35" s="10">
        <x:v>7.0</x:v>
      </x:c>
      <x:c r="D35" s="10">
        <x:v>27.0</x:v>
      </x:c>
      <x:c r="E35" s="10">
        <x:v>3.0</x:v>
      </x:c>
      <x:c r="F35" s="10">
        <x:v>985.0</x:v>
      </x:c>
    </x:row>
    <x:row r="36" ht="14.25" customHeight="1">
      <x:c r="A36" s="10">
        <x:v>34.0</x:v>
      </x:c>
      <x:c r="B36" s="10">
        <x:v>10.0</x:v>
      </x:c>
      <x:c r="C36" s="10">
        <x:v>16.0</x:v>
      </x:c>
      <x:c r="D36" s="10">
        <x:v>53.0</x:v>
      </x:c>
      <x:c r="E36" s="10">
        <x:v>5.0</x:v>
      </x:c>
      <x:c r="F36" s="10">
        <x:v>2522.0</x:v>
      </x:c>
    </x:row>
    <x:row r="37" ht="14.25" customHeight="1">
      <x:c r="A37" s="10">
        <x:v>35.0</x:v>
      </x:c>
      <x:c r="B37" s="10">
        <x:v>6.0</x:v>
      </x:c>
      <x:c r="C37" s="10">
        <x:v>24.0</x:v>
      </x:c>
      <x:c r="D37" s="10">
        <x:v>54.0</x:v>
      </x:c>
      <x:c r="E37" s="10">
        <x:v>5.0</x:v>
      </x:c>
      <x:c r="F37" s="10">
        <x:v>1966.0</x:v>
      </x:c>
    </x:row>
    <x:row r="38" ht="14.25" customHeight="1">
      <x:c r="A38" s="10">
        <x:v>36.0</x:v>
      </x:c>
      <x:c r="B38" s="10">
        <x:v>2.0</x:v>
      </x:c>
      <x:c r="C38" s="10">
        <x:v>7.0</x:v>
      </x:c>
      <x:c r="D38" s="10">
        <x:v>39.0</x:v>
      </x:c>
      <x:c r="E38" s="10">
        <x:v>4.0</x:v>
      </x:c>
      <x:c r="F38" s="10">
        <x:v>1490.0</x:v>
      </x:c>
    </x:row>
    <x:row r="39" ht="14.25" customHeight="1">
      <x:c r="A39" s="10">
        <x:v>37.0</x:v>
      </x:c>
      <x:c r="B39" s="10">
        <x:v>7.0</x:v>
      </x:c>
      <x:c r="C39" s="10">
        <x:v>12.0</x:v>
      </x:c>
      <x:c r="D39" s="10">
        <x:v>56.0</x:v>
      </x:c>
      <x:c r="E39" s="10">
        <x:v>3.0</x:v>
      </x:c>
      <x:c r="F39" s="10">
        <x:v>1945.0</x:v>
      </x:c>
    </x:row>
    <x:row r="40" ht="14.25" customHeight="1">
      <x:c r="A40" s="10">
        <x:v>38.0</x:v>
      </x:c>
      <x:c r="B40" s="10">
        <x:v>8.0</x:v>
      </x:c>
      <x:c r="C40" s="10">
        <x:v>19.0</x:v>
      </x:c>
      <x:c r="D40" s="10">
        <x:v>62.0</x:v>
      </x:c>
      <x:c r="E40" s="10">
        <x:v>4.0</x:v>
      </x:c>
      <x:c r="F40" s="10">
        <x:v>2378.0</x:v>
      </x:c>
    </x:row>
    <x:row r="41" ht="14.25" customHeight="1">
      <x:c r="A41" s="10">
        <x:v>39.0</x:v>
      </x:c>
      <x:c r="B41" s="10">
        <x:v>6.0</x:v>
      </x:c>
      <x:c r="C41" s="10">
        <x:v>17.0</x:v>
      </x:c>
      <x:c r="D41" s="10">
        <x:v>63.0</x:v>
      </x:c>
      <x:c r="E41" s="10">
        <x:v>5.0</x:v>
      </x:c>
      <x:c r="F41" s="10">
        <x:v>2160.0</x:v>
      </x:c>
    </x:row>
    <x:row r="42" ht="14.25" customHeight="1">
      <x:c r="A42" s="10">
        <x:v>40.0</x:v>
      </x:c>
      <x:c r="B42" s="10">
        <x:v>6.0</x:v>
      </x:c>
      <x:c r="C42" s="10">
        <x:v>20.0</x:v>
      </x:c>
      <x:c r="D42" s="10">
        <x:v>57.0</x:v>
      </x:c>
      <x:c r="E42" s="10">
        <x:v>4.0</x:v>
      </x:c>
      <x:c r="F42" s="10">
        <x:v>2404.0</x:v>
      </x:c>
    </x:row>
    <x:row r="43" ht="14.25" customHeight="1">
      <x:c r="A43" s="10">
        <x:v>41.0</x:v>
      </x:c>
      <x:c r="B43" s="10">
        <x:v>5.0</x:v>
      </x:c>
      <x:c r="C43" s="10">
        <x:v>21.0</x:v>
      </x:c>
      <x:c r="D43" s="10">
        <x:v>46.0</x:v>
      </x:c>
      <x:c r="E43" s="10">
        <x:v>6.0</x:v>
      </x:c>
      <x:c r="F43" s="10">
        <x:v>1961.0</x:v>
      </x:c>
    </x:row>
    <x:row r="44" ht="14.25" customHeight="1">
      <x:c r="A44" s="10">
        <x:v>42.0</x:v>
      </x:c>
      <x:c r="B44" s="10">
        <x:v>8.0</x:v>
      </x:c>
      <x:c r="C44" s="10">
        <x:v>25.0</x:v>
      </x:c>
      <x:c r="D44" s="10">
        <x:v>45.0</x:v>
      </x:c>
      <x:c r="E44" s="10">
        <x:v>4.0</x:v>
      </x:c>
      <x:c r="F44" s="10">
        <x:v>2386.0</x:v>
      </x:c>
    </x:row>
    <x:row r="45" ht="14.25" customHeight="1">
      <x:c r="A45" s="10">
        <x:v>43.0</x:v>
      </x:c>
      <x:c r="B45" s="10">
        <x:v>9.0</x:v>
      </x:c>
      <x:c r="C45" s="10">
        <x:v>25.0</x:v>
      </x:c>
      <x:c r="D45" s="10">
        <x:v>54.0</x:v>
      </x:c>
      <x:c r="E45" s="10">
        <x:v>5.0</x:v>
      </x:c>
      <x:c r="F45" s="10">
        <x:v>2671.0</x:v>
      </x:c>
    </x:row>
    <x:row r="46" ht="14.25" customHeight="1">
      <x:c r="A46" s="10">
        <x:v>44.0</x:v>
      </x:c>
      <x:c r="B46" s="10">
        <x:v>9.0</x:v>
      </x:c>
      <x:c r="C46" s="10">
        <x:v>30.0</x:v>
      </x:c>
      <x:c r="D46" s="10">
        <x:v>56.0</x:v>
      </x:c>
      <x:c r="E46" s="10">
        <x:v>7.0</x:v>
      </x:c>
      <x:c r="F46" s="10">
        <x:v>2510.0</x:v>
      </x:c>
    </x:row>
    <x:row r="47" ht="14.25" customHeight="1">
      <x:c r="A47" s="10">
        <x:v>45.0</x:v>
      </x:c>
      <x:c r="B47" s="10">
        <x:v>11.0</x:v>
      </x:c>
      <x:c r="C47" s="10">
        <x:v>36.0</x:v>
      </x:c>
      <x:c r="D47" s="10">
        <x:v>65.0</x:v>
      </x:c>
      <x:c r="E47" s="10">
        <x:v>5.0</x:v>
      </x:c>
      <x:c r="F47" s="10">
        <x:v>2883.0</x:v>
      </x:c>
    </x:row>
    <x:row r="48" ht="14.25" customHeight="1">
      <x:c r="A48" s="10">
        <x:v>46.0</x:v>
      </x:c>
      <x:c r="B48" s="10">
        <x:v>3.0</x:v>
      </x:c>
      <x:c r="C48" s="10">
        <x:v>13.0</x:v>
      </x:c>
      <x:c r="D48" s="10">
        <x:v>41.0</x:v>
      </x:c>
      <x:c r="E48" s="10">
        <x:v>4.0</x:v>
      </x:c>
      <x:c r="F48" s="10">
        <x:v>1611.0</x:v>
      </x:c>
    </x:row>
    <x:row r="49" ht="14.25" customHeight="1">
      <x:c r="A49" s="10">
        <x:v>47.0</x:v>
      </x:c>
      <x:c r="B49" s="10">
        <x:v>10.0</x:v>
      </x:c>
      <x:c r="C49" s="10">
        <x:v>36.0</x:v>
      </x:c>
      <x:c r="D49" s="10">
        <x:v>68.0</x:v>
      </x:c>
      <x:c r="E49" s="10">
        <x:v>7.0</x:v>
      </x:c>
      <x:c r="F49" s="10">
        <x:v>2864.0</x:v>
      </x:c>
    </x:row>
    <x:row r="50" ht="14.25" customHeight="1">
      <x:c r="A50" s="10">
        <x:v>48.0</x:v>
      </x:c>
      <x:c r="B50" s="10">
        <x:v>6.0</x:v>
      </x:c>
      <x:c r="C50" s="10">
        <x:v>20.0</x:v>
      </x:c>
      <x:c r="D50" s="10">
        <x:v>53.0</x:v>
      </x:c>
      <x:c r="E50" s="10">
        <x:v>5.0</x:v>
      </x:c>
      <x:c r="F50" s="10">
        <x:v>2324.0</x:v>
      </x:c>
    </x:row>
    <x:row r="51" ht="14.25" customHeight="1">
      <x:c r="A51" s="10">
        <x:v>49.0</x:v>
      </x:c>
      <x:c r="B51" s="10">
        <x:v>11.0</x:v>
      </x:c>
      <x:c r="C51" s="10">
        <x:v>46.0</x:v>
      </x:c>
      <x:c r="D51" s="10">
        <x:v>73.0</x:v>
      </x:c>
      <x:c r="E51" s="10">
        <x:v>5.0</x:v>
      </x:c>
      <x:c r="F51" s="10">
        <x:v>3007.0</x:v>
      </x:c>
    </x:row>
    <x:row r="52" ht="14.25" customHeight="1">
      <x:c r="A52" s="10">
        <x:v>50.0</x:v>
      </x:c>
      <x:c r="B52" s="10">
        <x:v>9.0</x:v>
      </x:c>
      <x:c r="C52" s="10">
        <x:v>27.0</x:v>
      </x:c>
      <x:c r="D52" s="10">
        <x:v>54.0</x:v>
      </x:c>
      <x:c r="E52" s="10">
        <x:v>4.0</x:v>
      </x:c>
      <x:c r="F52" s="10">
        <x:v>2516.0</x:v>
      </x:c>
    </x:row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>
      <x:c r="A83" t="str">
        <x:v>QUESTION 2 — COMPLETE STEP-BY-STEP GUIDE</x:v>
      </x:c>
    </x:row>
    <x:row r="84" ht="14.25" customHeight="1">
      <x:c r="A84" t="str">
        <x:v>Use this guide to complete the multiple regression and refinement yourself. Dataset is in A2:F52 (50 drivers).</x:v>
      </x:c>
    </x:row>
    <x:row r="85" ht="14.25" customHeight="1">
      <x:c r="A85" t="str"/>
    </x:row>
    <x:row r="86" ht="14.25" customHeight="1">
      <x:c r="A86" t="str">
        <x:v>PART 1 — RUN THE INITIAL MULTIPLE REGRESSION WITH ALL 4 INDEPENDENT VARIABLES</x:v>
      </x:c>
    </x:row>
    <x:row r="87" ht="14.25" customHeight="1">
      <x:c r="A87" t="str">
        <x:v>1. Click the Data tab.</x:v>
      </x:c>
    </x:row>
    <x:row r="88" ht="14.25" customHeight="1">
      <x:c r="A88" t="str">
        <x:v>2. If Data Analysis is missing: File &gt; Options &gt; Add-ins &gt; Excel Add-ins &gt; Go &gt; tick Analysis ToolPak &gt; OK.</x:v>
      </x:c>
    </x:row>
    <x:row r="89" ht="14.25" customHeight="1">
      <x:c r="A89" t="str">
        <x:v>3. Click Data &gt; Data Analysis &gt; Regression &gt; OK.</x:v>
      </x:c>
    </x:row>
    <x:row r="90" ht="14.25" customHeight="1">
      <x:c r="A90" t="str">
        <x:v>4. Input Y Range: F2:F52 (Monthly_Earnings_USD).</x:v>
      </x:c>
    </x:row>
    <x:row r="91" ht="14.25" customHeight="1">
      <x:c r="A91" t="str">
        <x:v>5. Input X Range: B2:E52. This includes Years_Experience, Training_Hours, Weekly_Deliveries, and Customer_Rating_Score.</x:v>
      </x:c>
    </x:row>
    <x:row r="92" ht="14.25" customHeight="1">
      <x:c r="A92" t="str">
        <x:v>6. Tick Labels because row 2 contains headings.</x:v>
      </x:c>
    </x:row>
    <x:row r="93" ht="14.25" customHeight="1">
      <x:c r="A93" t="str">
        <x:v>7. Do NOT tick Constant is Zero.</x:v>
      </x:c>
    </x:row>
    <x:row r="94" ht="14.25" customHeight="1">
      <x:c r="A94" t="str">
        <x:v>8. Under Output options choose Output Range and select a blank area to the right, for example H2.</x:v>
      </x:c>
    </x:row>
    <x:row r="95" ht="14.25" customHeight="1">
      <x:c r="A95" t="str">
        <x:v>9. Click OK.</x:v>
      </x:c>
    </x:row>
    <x:row r="96" ht="14.25" customHeight="1">
      <x:c r="A96" t="str"/>
    </x:row>
    <x:row r="97" ht="14.25" customHeight="1">
      <x:c r="A97" t="str">
        <x:v>EXPECTED INITIAL MODEL RESULTS</x:v>
      </x:c>
    </x:row>
    <x:row r="98" ht="14.25" customHeight="1">
      <x:c r="A98" t="str">
        <x:v>R Square = 0.952074; Adjusted R Square = 0.947814.</x:v>
      </x:c>
    </x:row>
    <x:row r="99" ht="14.25" customHeight="1">
      <x:c r="A99" t="str">
        <x:v>Intercept = 646.7105 (p ≈ 0.00000132).</x:v>
      </x:c>
    </x:row>
    <x:row r="100" ht="14.25" customHeight="1">
      <x:c r="A100" t="str">
        <x:v>Years_Experience coefficient = 101.0334 (p ≈ 1.04E-08).</x:v>
      </x:c>
    </x:row>
    <x:row r="101" ht="14.25" customHeight="1">
      <x:c r="A101" t="str">
        <x:v>Training_Hours coefficient = 12.2873 (p ≈ 0.000879).</x:v>
      </x:c>
    </x:row>
    <x:row r="102" ht="14.25" customHeight="1">
      <x:c r="A102" t="str">
        <x:v>Weekly_Deliveries coefficient = 9.41565 (p ≈ 0.004584).</x:v>
      </x:c>
    </x:row>
    <x:row r="103" ht="14.25" customHeight="1">
      <x:c r="A103" t="str">
        <x:v>Customer_Rating_Score coefficient = 17.0019 (p ≈ 0.417184).</x:v>
      </x:c>
    </x:row>
    <x:row r="104" ht="14.25" customHeight="1">
      <x:c r="A104" t="str"/>
    </x:row>
    <x:row r="105" ht="14.25" customHeight="1">
      <x:c r="A105" t="str">
        <x:v>PART 2 — IDENTIFY AND REMOVE INSIGNIFICANT VARIABLE(S) AT ALPHA = 0.05</x:v>
      </x:c>
    </x:row>
    <x:row r="106" ht="14.25" customHeight="1">
      <x:c r="A106" t="str">
        <x:v>1. In the regression output, look at the P-value column for each independent variable.</x:v>
      </x:c>
    </x:row>
    <x:row r="107" ht="14.25" customHeight="1">
      <x:c r="A107" t="str">
        <x:v>2. Decision rule: if P-value &gt; 0.05, that variable is statistically insignificant and should be removed for the refined model.</x:v>
      </x:c>
    </x:row>
    <x:row r="108" ht="14.25" customHeight="1">
      <x:c r="A108" t="str">
        <x:v>3. Customer_Rating_Score has p ≈ 0.417184, which is greater than 0.05.</x:v>
      </x:c>
    </x:row>
    <x:row r="109" ht="14.25" customHeight="1">
      <x:c r="A109" t="str">
        <x:v>4. Therefore REMOVE Customer_Rating_Score.</x:v>
      </x:c>
    </x:row>
    <x:row r="110" ht="14.25" customHeight="1">
      <x:c r="A110" t="str">
        <x:v>5. The other three variables have p-values below 0.05, so keep them.</x:v>
      </x:c>
    </x:row>
    <x:row r="111" ht="14.25" customHeight="1">
      <x:c r="A111" t="str"/>
    </x:row>
    <x:row r="112" ht="14.25" customHeight="1">
      <x:c r="A112" t="str">
        <x:v>PART 3 — RUN THE REFINED MULTIPLE REGRESSION</x:v>
      </x:c>
    </x:row>
    <x:row r="113" ht="14.25" customHeight="1">
      <x:c r="A113" t="str">
        <x:v>1. Click Data &gt; Data Analysis &gt; Regression &gt; OK.</x:v>
      </x:c>
    </x:row>
    <x:row r="114" ht="14.25" customHeight="1">
      <x:c r="A114" t="str">
        <x:v>2. Input Y Range: F2:F52.</x:v>
      </x:c>
    </x:row>
    <x:row r="115" ht="14.25" customHeight="1">
      <x:c r="A115" t="str">
        <x:v>3. Input X Range: B2:D52 only. These are Years_Experience, Training_Hours, and Weekly_Deliveries.</x:v>
      </x:c>
    </x:row>
    <x:row r="116" ht="14.25" customHeight="1">
      <x:c r="A116" t="str">
        <x:v>4. Tick Labels. Do NOT tick Constant is Zero.</x:v>
      </x:c>
    </x:row>
    <x:row r="117" ht="14.25" customHeight="1">
      <x:c r="A117" t="str">
        <x:v>5. Choose another blank Output Range below or beside the first output, for example H25.</x:v>
      </x:c>
    </x:row>
    <x:row r="118" ht="14.25" customHeight="1">
      <x:c r="A118" t="str">
        <x:v>6. Click OK.</x:v>
      </x:c>
    </x:row>
    <x:row r="119" ht="14.25" customHeight="1">
      <x:c r="A119" t="str"/>
    </x:row>
    <x:row r="120" ht="14.25" customHeight="1">
      <x:c r="A120" t="str">
        <x:v>EXPECTED REFINED MODEL RESULTS</x:v>
      </x:c>
    </x:row>
    <x:row r="121" ht="14.25" customHeight="1">
      <x:c r="A121" t="str">
        <x:v>R Square = 0.951360 (95.136%).</x:v>
      </x:c>
    </x:row>
    <x:row r="122" ht="14.25" customHeight="1">
      <x:c r="A122" t="str">
        <x:v>Adjusted R Square = 0.948188 (94.819%).</x:v>
      </x:c>
    </x:row>
    <x:row r="123" ht="14.25" customHeight="1">
      <x:c r="A123" t="str">
        <x:v>Intercept = 697.4522.</x:v>
      </x:c>
    </x:row>
    <x:row r="124" ht="14.25" customHeight="1">
      <x:c r="A124" t="str">
        <x:v>Years_Experience coefficient = 103.8532 (p ≈ 2.08E-09).</x:v>
      </x:c>
    </x:row>
    <x:row r="125" ht="14.25" customHeight="1">
      <x:c r="A125" t="str">
        <x:v>Training_Hours coefficient = 12.2826 (p ≈ 0.000835).</x:v>
      </x:c>
    </x:row>
    <x:row r="126" ht="14.25" customHeight="1">
      <x:c r="A126" t="str">
        <x:v>Weekly_Deliveries coefficient = 9.58353 (p ≈ 0.003741).</x:v>
      </x:c>
    </x:row>
    <x:row r="127" ht="14.25" customHeight="1">
      <x:c r="A127" t="str"/>
    </x:row>
    <x:row r="128" ht="14.25" customHeight="1">
      <x:c r="A128" t="str">
        <x:v>FINAL REFINED REGRESSION EQUATION TO WRITE</x:v>
      </x:c>
    </x:row>
    <x:row r="129" ht="14.25" customHeight="1">
      <x:c r="A129" t="str">
        <x:v>Monthly_Earnings_USD = 697.4522 + 103.8532(Years_Experience) + 12.2826(Training_Hours) + 9.58353(Weekly_Deliveries)</x:v>
      </x:c>
    </x:row>
    <x:row r="130" ht="14.25" customHeight="1">
      <x:c r="A130" t="str"/>
    </x:row>
    <x:row r="131" ht="14.25" customHeight="1">
      <x:c r="A131" t="str">
        <x:v>PART 4 — INTERPRETATION &amp; ANALYSIS ANSWERS</x:v>
      </x:c>
    </x:row>
    <x:row r="132" ht="14.25" customHeight="1">
      <x:c r="A132" t="str">
        <x:v>A. How well does the final model explain variation in monthly earnings?</x:v>
      </x:c>
    </x:row>
    <x:row r="133" ht="14.25" customHeight="1">
      <x:c r="A133" t="str">
        <x:v>Answer: The final model has R² = 0.95136, so approximately 95.14% of the variation in Monthly_Earnings_USD is explained by Years_Experience, Training_Hours, and Weekly_Deliveries. The Adjusted R² is 0.94819 (94.82%), which is very close to R², indicating the final model has a very strong fit without a large penalty for unnecessary predictors.</x:v>
      </x:c>
    </x:row>
    <x:row r="134" ht="14.25" customHeight="1">
      <x:c r="A134" t="str"/>
    </x:row>
    <x:row r="135" ht="14.25" customHeight="1">
      <x:c r="A135" t="str">
        <x:v>B. Interpret the coefficient of Weekly_Deliveries and explain the scheduling implication.</x:v>
      </x:c>
    </x:row>
    <x:row r="136" ht="14.25" customHeight="1">
      <x:c r="A136" t="str">
        <x:v>Answer: The Weekly_Deliveries coefficient is approximately 9.5835. Holding Years_Experience and Training_Hours constant, one additional weekly delivery is associated with about $9.58 higher monthly earnings on average. For scheduling, this suggests drivers assigned more deliveries tend to earn more; however, management should also consider workload and service quality because regression shows association, not guaranteed causation.</x:v>
      </x:c>
    </x:row>
    <x:row r="137" ht="14.25" customHeight="1">
      <x:c r="A137" t="str"/>
    </x:row>
    <x:row r="138" ht="14.25" customHeight="1">
      <x:c r="A138" t="str">
        <x:v>C. Which variable was removed and why?</x:v>
      </x:c>
    </x:row>
    <x:row r="139" ht="14.25" customHeight="1">
      <x:c r="A139" t="str">
        <x:v>Answer: Customer_Rating_Score was removed because its p-value in the initial model was about 0.417, which is greater than alpha = 0.05, so it was not statistically significant after controlling for the other predictors.</x:v>
      </x:c>
    </x:row>
    <x:row r="140" ht="14.25" customHeight="1">
      <x:c r="A140" t="str"/>
    </x:row>
    <x:row r="141" ht="14.25" customHeight="1">
      <x:c r="A141" t="str">
        <x:v>D. Identify the most influential predictor in the final model.</x:v>
      </x:c>
    </x:row>
    <x:row r="142" ht="14.25" customHeight="1">
      <x:c r="A142" t="str">
        <x:v>Answer: Years_Experience is the most influential predictor. It has the largest t-statistic among the retained predictors (about 7.43) and the strongest standardized effect (standardized beta ≈ 0.596). Its coefficient means each additional year of experience is associated with about $103.85 higher monthly earnings, holding the other predictors constant.</x:v>
      </x:c>
    </x:row>
    <x:row r="143" ht="14.25" customHeight="1">
      <x:c r="A143" t="str"/>
    </x:row>
    <x:row r="144" ht="14.25" customHeight="1">
      <x:c r="A144" t="str">
        <x:v>QUICK FINAL ANSWER CHECK</x:v>
      </x:c>
    </x:row>
    <x:row r="145" ht="14.25" customHeight="1">
      <x:c r="A145" t="str">
        <x:v>Remove: Customer_Rating_Score (p ≈ 0.417 &gt; 0.05).</x:v>
      </x:c>
    </x:row>
    <x:row r="146" ht="14.25" customHeight="1">
      <x:c r="A146" t="str">
        <x:v>Final equation: Earnings = 697.4522 + 103.8532(Years) + 12.2826(Training Hours) + 9.58353(Weekly Deliveries).</x:v>
      </x:c>
    </x:row>
    <x:row r="147" ht="14.25" customHeight="1">
      <x:c r="A147" t="str">
        <x:v>Final R² = 0.951360; Adjusted R² = 0.948188.</x:v>
      </x:c>
    </x:row>
    <x:row r="148" ht="14.25" customHeight="1">
      <x:c r="A148" t="str">
        <x:v>Weekly Deliveries effect = +$9.58 monthly earnings per additional weekly delivery, holding other variables constant.</x:v>
      </x:c>
    </x:row>
    <x:row r="149" ht="14.25" customHeight="1">
      <x:c r="A149" t="str">
        <x:v>Most influential predictor = Years_Experience.</x:v>
      </x:c>
    </x:row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5" customWidth="1"/>
    <x:col min="2" max="2" width="20" customWidth="1"/>
    <x:col min="3" max="3" width="14" customWidth="1"/>
    <x:col min="4" max="4" width="10" customWidth="1"/>
    <x:col min="5" max="26" width="8.710000038146973" customWidth="1"/>
  </x:cols>
  <x:sheetData>
    <x:row r="1" ht="14.25" customHeight="1">
      <x:c r="A1" s="2" t="s">
        <x:v>88</x:v>
      </x:c>
    </x:row>
    <x:row r="2" ht="14.25" customHeight="1">
      <x:c r="A2" s="6" t="s">
        <x:v>67</x:v>
      </x:c>
      <x:c r="B2" s="6" t="s">
        <x:v>89</x:v>
      </x:c>
      <x:c r="C2" s="6" t="s">
        <x:v>90</x:v>
      </x:c>
      <x:c r="D2" s="6" t="s">
        <x:v>91</x:v>
      </x:c>
    </x:row>
    <x:row r="3" ht="14.25" customHeight="1">
      <x:c r="A3" s="10">
        <x:v>1.0</x:v>
      </x:c>
      <x:c r="B3" s="13" t="s">
        <x:v>92</x:v>
      </x:c>
      <x:c r="C3" s="13" t="s">
        <x:v>93</x:v>
      </x:c>
      <x:c r="D3" s="13" t="s">
        <x:v>94</x:v>
      </x:c>
    </x:row>
    <x:row r="4" ht="14.25" customHeight="1">
      <x:c r="A4" s="10">
        <x:v>2.0</x:v>
      </x:c>
      <x:c r="B4" s="13" t="s">
        <x:v>95</x:v>
      </x:c>
      <x:c r="C4" s="13" t="s">
        <x:v>96</x:v>
      </x:c>
      <x:c r="D4" s="13" t="s">
        <x:v>94</x:v>
      </x:c>
    </x:row>
    <x:row r="5" ht="14.25" customHeight="1">
      <x:c r="A5" s="10">
        <x:v>3.0</x:v>
      </x:c>
      <x:c r="B5" s="13" t="s">
        <x:v>97</x:v>
      </x:c>
      <x:c r="C5" s="13" t="s">
        <x:v>98</x:v>
      </x:c>
      <x:c r="D5" s="13" t="s">
        <x:v>99</x:v>
      </x:c>
    </x:row>
    <x:row r="6" ht="14.25" customHeight="1">
      <x:c r="A6" s="10">
        <x:v>4.0</x:v>
      </x:c>
      <x:c r="B6" s="13" t="s">
        <x:v>100</x:v>
      </x:c>
      <x:c r="C6" s="13" t="s">
        <x:v>101</x:v>
      </x:c>
      <x:c r="D6" s="13" t="s">
        <x:v>99</x:v>
      </x:c>
    </x:row>
    <x:row r="7" ht="14.25" customHeight="1">
      <x:c r="A7" s="10">
        <x:v>5.0</x:v>
      </x:c>
      <x:c r="B7" s="13" t="s">
        <x:v>102</x:v>
      </x:c>
      <x:c r="C7" s="13" t="s">
        <x:v>103</x:v>
      </x:c>
      <x:c r="D7" s="13" t="s">
        <x:v>104</x:v>
      </x:c>
    </x:row>
    <x:row r="8" ht="14.25" customHeight="1">
      <x:c r="A8" s="10">
        <x:v>6.0</x:v>
      </x:c>
      <x:c r="B8" s="13" t="s">
        <x:v>105</x:v>
      </x:c>
      <x:c r="C8" s="13" t="s">
        <x:v>106</x:v>
      </x:c>
      <x:c r="D8" s="13" t="s">
        <x:v>104</x:v>
      </x:c>
    </x:row>
    <x:row r="9" ht="14.25" customHeight="1">
      <x:c r="A9" s="10">
        <x:v>7.0</x:v>
      </x:c>
      <x:c r="B9" s="13" t="s">
        <x:v>107</x:v>
      </x:c>
      <x:c r="C9" s="13" t="s">
        <x:v>108</x:v>
      </x:c>
      <x:c r="D9" s="13" t="s">
        <x:v>94</x:v>
      </x:c>
    </x:row>
    <x:row r="10" ht="14.25" customHeight="1">
      <x:c r="A10" s="10">
        <x:v>8.0</x:v>
      </x:c>
      <x:c r="B10" s="13" t="s">
        <x:v>109</x:v>
      </x:c>
      <x:c r="C10" s="13" t="s">
        <x:v>110</x:v>
      </x:c>
      <x:c r="D10" s="13" t="s">
        <x:v>99</x:v>
      </x:c>
    </x:row>
    <x:row r="11" ht="14.25" customHeight="1">
      <x:c r="A11" s="10">
        <x:v>9.0</x:v>
      </x:c>
      <x:c r="B11" s="13" t="s">
        <x:v>111</x:v>
      </x:c>
      <x:c r="C11" s="13" t="s">
        <x:v>96</x:v>
      </x:c>
      <x:c r="D11" s="13" t="s">
        <x:v>104</x:v>
      </x:c>
    </x:row>
    <x:row r="12" ht="14.25" customHeight="1">
      <x:c r="A12" s="10">
        <x:v>10.0</x:v>
      </x:c>
      <x:c r="B12" s="13" t="s">
        <x:v>112</x:v>
      </x:c>
      <x:c r="C12" s="13" t="s">
        <x:v>113</x:v>
      </x:c>
      <x:c r="D12" s="13" t="s">
        <x:v>94</x:v>
      </x:c>
    </x:row>
    <x:row r="13" ht="14.25" customHeight="1"/>
    <x:row r="14" ht="14.25" customHeight="1"/>
    <x:row r="15" ht="14.25" customHeight="1"/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1" customWidth="1"/>
    <x:col min="2" max="2" width="13" customWidth="1"/>
    <x:col min="3" max="3" width="14" customWidth="1"/>
    <x:col min="4" max="4" width="10" customWidth="1"/>
    <x:col min="5" max="26" width="8.710000038146973" customWidth="1"/>
  </x:cols>
  <x:sheetData>
    <x:row r="1" ht="14.25" customHeight="1">
      <x:c r="A1" s="2" t="s">
        <x:v>114</x:v>
      </x:c>
    </x:row>
    <x:row r="2" ht="14.25" customHeight="1">
      <x:c r="A2" s="6" t="s">
        <x:v>82</x:v>
      </x:c>
      <x:c r="B2" s="6" t="s">
        <x:v>115</x:v>
      </x:c>
      <x:c r="C2" s="6" t="s">
        <x:v>116</x:v>
      </x:c>
      <x:c r="D2" s="6" t="s">
        <x:v>91</x:v>
      </x:c>
    </x:row>
    <x:row r="3" ht="14.25" customHeight="1">
      <x:c r="A3" s="10">
        <x:v>1.0</x:v>
      </x:c>
      <x:c r="B3" s="13" t="s">
        <x:v>117</x:v>
      </x:c>
      <x:c r="C3" s="13" t="s">
        <x:v>118</x:v>
      </x:c>
      <x:c r="D3" s="13" t="s">
        <x:v>94</x:v>
      </x:c>
    </x:row>
    <x:row r="4" ht="14.25" customHeight="1">
      <x:c r="A4" s="10">
        <x:v>2.0</x:v>
      </x:c>
      <x:c r="B4" s="13" t="s">
        <x:v>119</x:v>
      </x:c>
      <x:c r="C4" s="13" t="s">
        <x:v>118</x:v>
      </x:c>
      <x:c r="D4" s="13" t="s">
        <x:v>104</x:v>
      </x:c>
    </x:row>
    <x:row r="5" ht="14.25" customHeight="1">
      <x:c r="A5" s="10">
        <x:v>3.0</x:v>
      </x:c>
      <x:c r="B5" s="13" t="s">
        <x:v>120</x:v>
      </x:c>
      <x:c r="C5" s="13" t="s">
        <x:v>121</x:v>
      </x:c>
      <x:c r="D5" s="13" t="s">
        <x:v>104</x:v>
      </x:c>
    </x:row>
    <x:row r="6" ht="14.25" customHeight="1">
      <x:c r="A6" s="10">
        <x:v>4.0</x:v>
      </x:c>
      <x:c r="B6" s="13" t="s">
        <x:v>122</x:v>
      </x:c>
      <x:c r="C6" s="13" t="s">
        <x:v>123</x:v>
      </x:c>
      <x:c r="D6" s="13" t="s">
        <x:v>94</x:v>
      </x:c>
    </x:row>
    <x:row r="7" ht="14.25" customHeight="1">
      <x:c r="A7" s="10">
        <x:v>5.0</x:v>
      </x:c>
      <x:c r="B7" s="13" t="s">
        <x:v>124</x:v>
      </x:c>
      <x:c r="C7" s="13" t="s">
        <x:v>118</x:v>
      </x:c>
      <x:c r="D7" s="13" t="s">
        <x:v>94</x:v>
      </x:c>
    </x:row>
    <x:row r="8" ht="14.25" customHeight="1">
      <x:c r="A8" s="10">
        <x:v>6.0</x:v>
      </x:c>
      <x:c r="B8" s="13" t="s">
        <x:v>125</x:v>
      </x:c>
      <x:c r="C8" s="13" t="s">
        <x:v>118</x:v>
      </x:c>
      <x:c r="D8" s="13" t="s">
        <x:v>99</x:v>
      </x:c>
    </x:row>
    <x:row r="9" ht="14.25" customHeight="1">
      <x:c r="A9" s="10">
        <x:v>7.0</x:v>
      </x:c>
      <x:c r="B9" s="13" t="s">
        <x:v>126</x:v>
      </x:c>
      <x:c r="C9" s="13" t="s">
        <x:v>123</x:v>
      </x:c>
      <x:c r="D9" s="13" t="s">
        <x:v>99</x:v>
      </x:c>
    </x:row>
    <x:row r="10" ht="14.25" customHeight="1">
      <x:c r="A10" s="10">
        <x:v>8.0</x:v>
      </x:c>
      <x:c r="B10" s="13" t="s">
        <x:v>127</x:v>
      </x:c>
      <x:c r="C10" s="13" t="s">
        <x:v>123</x:v>
      </x:c>
      <x:c r="D10" s="13" t="s">
        <x:v>104</x:v>
      </x:c>
    </x:row>
    <x:row r="11" ht="14.25" customHeight="1">
      <x:c r="A11" s="10">
        <x:v>9.0</x:v>
      </x:c>
      <x:c r="B11" s="13" t="s">
        <x:v>128</x:v>
      </x:c>
      <x:c r="C11" s="13" t="s">
        <x:v>118</x:v>
      </x:c>
      <x:c r="D11" s="13" t="s">
        <x:v>94</x:v>
      </x:c>
    </x:row>
    <x:row r="12" ht="14.25" customHeight="1">
      <x:c r="A12" s="10">
        <x:v>10.0</x:v>
      </x:c>
      <x:c r="B12" s="13" t="s">
        <x:v>129</x:v>
      </x:c>
      <x:c r="C12" s="13" t="s">
        <x:v>123</x:v>
      </x:c>
      <x:c r="D12" s="13" t="s">
        <x:v>104</x:v>
      </x:c>
    </x:row>
    <x:row r="13" ht="14.25" customHeight="1">
      <x:c r="A13" s="10">
        <x:v>11.0</x:v>
      </x:c>
      <x:c r="B13" s="13" t="s">
        <x:v>130</x:v>
      </x:c>
      <x:c r="C13" s="13" t="s">
        <x:v>118</x:v>
      </x:c>
      <x:c r="D13" s="13" t="s">
        <x:v>99</x:v>
      </x:c>
    </x:row>
    <x:row r="14" ht="14.25" customHeight="1">
      <x:c r="A14" s="10">
        <x:v>12.0</x:v>
      </x:c>
      <x:c r="B14" s="13" t="s">
        <x:v>131</x:v>
      </x:c>
      <x:c r="C14" s="13" t="s">
        <x:v>118</x:v>
      </x:c>
      <x:c r="D14" s="13" t="s">
        <x:v>99</x:v>
      </x:c>
    </x:row>
    <x:row r="15" ht="14.25" customHeight="1"/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2" customWidth="1"/>
    <x:col min="2" max="2" width="14" customWidth="1"/>
    <x:col min="3" max="3" width="13" customWidth="1"/>
    <x:col min="4" max="4" width="12" customWidth="1"/>
    <x:col min="5" max="5" width="20" customWidth="1"/>
    <x:col min="6" max="26" width="8.710000038146973" customWidth="1"/>
  </x:cols>
  <x:sheetData>
    <x:row r="1" ht="14.25" customHeight="1">
      <x:c r="A1" s="2" t="s">
        <x:v>132</x:v>
      </x:c>
    </x:row>
    <x:row r="2" ht="14.25" customHeight="1">
      <x:c r="A2" s="6" t="s">
        <x:v>133</x:v>
      </x:c>
      <x:c r="B2" s="6" t="s">
        <x:v>134</x:v>
      </x:c>
      <x:c r="C2" s="6" t="s">
        <x:v>135</x:v>
      </x:c>
      <x:c r="D2" s="6" t="s">
        <x:v>136</x:v>
      </x:c>
      <x:c r="E2" s="6" t="s">
        <x:v>137</x:v>
      </x:c>
    </x:row>
    <x:row r="3" ht="14.25" customHeight="1">
      <x:c r="A3" s="10">
        <x:v>1.0</x:v>
      </x:c>
      <x:c r="B3" s="13" t="s">
        <x:v>138</x:v>
      </x:c>
      <x:c r="C3" s="13" t="s">
        <x:v>139</x:v>
      </x:c>
      <x:c r="D3" s="13" t="s">
        <x:v>140</x:v>
      </x:c>
      <x:c r="E3" s="13" t="s">
        <x:v>141</x:v>
      </x:c>
    </x:row>
    <x:row r="4" ht="14.25" customHeight="1">
      <x:c r="A4" s="10">
        <x:v>2.0</x:v>
      </x:c>
      <x:c r="B4" s="13" t="s">
        <x:v>142</x:v>
      </x:c>
      <x:c r="C4" s="13" t="s">
        <x:v>143</x:v>
      </x:c>
      <x:c r="D4" s="13" t="s">
        <x:v>144</x:v>
      </x:c>
      <x:c r="E4" s="13" t="s">
        <x:v>145</x:v>
      </x:c>
    </x:row>
    <x:row r="5" ht="14.25" customHeight="1">
      <x:c r="A5" s="10">
        <x:v>3.0</x:v>
      </x:c>
      <x:c r="B5" s="13" t="s">
        <x:v>146</x:v>
      </x:c>
      <x:c r="C5" s="13" t="s">
        <x:v>139</x:v>
      </x:c>
      <x:c r="D5" s="13" t="s">
        <x:v>147</x:v>
      </x:c>
      <x:c r="E5" s="13" t="s">
        <x:v>148</x:v>
      </x:c>
    </x:row>
    <x:row r="6" ht="14.25" customHeight="1">
      <x:c r="A6" s="10">
        <x:v>4.0</x:v>
      </x:c>
      <x:c r="B6" s="13" t="s">
        <x:v>149</x:v>
      </x:c>
      <x:c r="C6" s="13" t="s">
        <x:v>143</x:v>
      </x:c>
      <x:c r="D6" s="13" t="s">
        <x:v>144</x:v>
      </x:c>
      <x:c r="E6" s="13" t="s">
        <x:v>150</x:v>
      </x:c>
    </x:row>
    <x:row r="7" ht="14.25" customHeight="1">
      <x:c r="A7" s="10">
        <x:v>5.0</x:v>
      </x:c>
      <x:c r="B7" s="13" t="s">
        <x:v>151</x:v>
      </x:c>
      <x:c r="C7" s="13" t="s">
        <x:v>139</x:v>
      </x:c>
      <x:c r="D7" s="13" t="s">
        <x:v>144</x:v>
      </x:c>
      <x:c r="E7" s="13" t="s">
        <x:v>150</x:v>
      </x:c>
    </x:row>
    <x:row r="8" ht="14.25" customHeight="1">
      <x:c r="A8" s="10">
        <x:v>6.0</x:v>
      </x:c>
      <x:c r="B8" s="13" t="s">
        <x:v>152</x:v>
      </x:c>
      <x:c r="C8" s="13" t="s">
        <x:v>139</x:v>
      </x:c>
      <x:c r="D8" s="13" t="s">
        <x:v>147</x:v>
      </x:c>
      <x:c r="E8" s="13" t="s">
        <x:v>148</x:v>
      </x:c>
    </x:row>
    <x:row r="9" ht="14.25" customHeight="1">
      <x:c r="A9" s="10">
        <x:v>7.0</x:v>
      </x:c>
      <x:c r="B9" s="13" t="s">
        <x:v>153</x:v>
      </x:c>
      <x:c r="C9" s="13" t="s">
        <x:v>139</x:v>
      </x:c>
      <x:c r="D9" s="13" t="s">
        <x:v>147</x:v>
      </x:c>
      <x:c r="E9" s="13" t="s">
        <x:v>148</x:v>
      </x:c>
    </x:row>
    <x:row r="10" ht="14.25" customHeight="1">
      <x:c r="A10" s="10">
        <x:v>8.0</x:v>
      </x:c>
      <x:c r="B10" s="13" t="s">
        <x:v>154</x:v>
      </x:c>
      <x:c r="C10" s="13" t="s">
        <x:v>139</x:v>
      </x:c>
      <x:c r="D10" s="13" t="s">
        <x:v>140</x:v>
      </x:c>
      <x:c r="E10" s="13" t="s">
        <x:v>155</x:v>
      </x:c>
    </x:row>
    <x:row r="11" ht="14.25" customHeight="1">
      <x:c r="A11" s="10">
        <x:v>9.0</x:v>
      </x:c>
      <x:c r="B11" s="13" t="s">
        <x:v>156</x:v>
      </x:c>
      <x:c r="C11" s="13" t="s">
        <x:v>143</x:v>
      </x:c>
      <x:c r="D11" s="13" t="s">
        <x:v>157</x:v>
      </x:c>
      <x:c r="E11" s="13" t="s">
        <x:v>158</x:v>
      </x:c>
    </x:row>
    <x:row r="12" ht="14.25" customHeight="1">
      <x:c r="A12" s="10">
        <x:v>10.0</x:v>
      </x:c>
      <x:c r="B12" s="13" t="s">
        <x:v>159</x:v>
      </x:c>
      <x:c r="C12" s="13" t="s">
        <x:v>139</x:v>
      </x:c>
      <x:c r="D12" s="13" t="s">
        <x:v>140</x:v>
      </x:c>
      <x:c r="E12" s="13" t="s">
        <x:v>141</x:v>
      </x:c>
    </x:row>
    <x:row r="13" ht="14.25" customHeight="1">
      <x:c r="A13" s="10">
        <x:v>11.0</x:v>
      </x:c>
      <x:c r="B13" s="13" t="s">
        <x:v>160</x:v>
      </x:c>
      <x:c r="C13" s="13" t="s">
        <x:v>139</x:v>
      </x:c>
      <x:c r="D13" s="13" t="s">
        <x:v>144</x:v>
      </x:c>
      <x:c r="E13" s="13" t="s">
        <x:v>150</x:v>
      </x:c>
    </x:row>
    <x:row r="14" ht="14.25" customHeight="1">
      <x:c r="A14" s="10">
        <x:v>12.0</x:v>
      </x:c>
      <x:c r="B14" s="13" t="s">
        <x:v>161</x:v>
      </x:c>
      <x:c r="C14" s="13" t="s">
        <x:v>139</x:v>
      </x:c>
      <x:c r="D14" s="13" t="s">
        <x:v>157</x:v>
      </x:c>
      <x:c r="E14" s="13" t="s">
        <x:v>162</x:v>
      </x:c>
    </x:row>
    <x:row r="15" ht="14.25" customHeight="1">
      <x:c r="A15" s="10">
        <x:v>13.0</x:v>
      </x:c>
      <x:c r="B15" s="13" t="s">
        <x:v>159</x:v>
      </x:c>
      <x:c r="C15" s="13" t="s">
        <x:v>139</x:v>
      </x:c>
      <x:c r="D15" s="13" t="s">
        <x:v>147</x:v>
      </x:c>
      <x:c r="E15" s="13" t="s">
        <x:v>148</x:v>
      </x:c>
    </x:row>
    <x:row r="16" ht="14.25" customHeight="1">
      <x:c r="A16" s="10">
        <x:v>14.0</x:v>
      </x:c>
      <x:c r="B16" s="13" t="s">
        <x:v>163</x:v>
      </x:c>
      <x:c r="C16" s="13" t="s">
        <x:v>139</x:v>
      </x:c>
      <x:c r="D16" s="13" t="s">
        <x:v>157</x:v>
      </x:c>
      <x:c r="E16" s="13" t="s">
        <x:v>162</x:v>
      </x:c>
    </x:row>
    <x:row r="17" ht="14.25" customHeight="1">
      <x:c r="A17" s="10">
        <x:v>15.0</x:v>
      </x:c>
      <x:c r="B17" s="13" t="s">
        <x:v>164</x:v>
      </x:c>
      <x:c r="C17" s="13" t="s">
        <x:v>139</x:v>
      </x:c>
      <x:c r="D17" s="13" t="s">
        <x:v>147</x:v>
      </x:c>
      <x:c r="E17" s="13" t="s">
        <x:v>148</x:v>
      </x:c>
    </x:row>
    <x:row r="18" ht="14.25" customHeight="1">
      <x:c r="A18" s="10">
        <x:v>16.0</x:v>
      </x:c>
      <x:c r="B18" s="13" t="s">
        <x:v>151</x:v>
      </x:c>
      <x:c r="C18" s="13" t="s">
        <x:v>139</x:v>
      </x:c>
      <x:c r="D18" s="13" t="s">
        <x:v>157</x:v>
      </x:c>
      <x:c r="E18" s="13" t="s">
        <x:v>162</x:v>
      </x:c>
    </x:row>
    <x:row r="19" ht="14.25" customHeight="1">
      <x:c r="A19" s="10">
        <x:v>17.0</x:v>
      </x:c>
      <x:c r="B19" s="13" t="s">
        <x:v>165</x:v>
      </x:c>
      <x:c r="C19" s="13" t="s">
        <x:v>139</x:v>
      </x:c>
      <x:c r="D19" s="13" t="s">
        <x:v>157</x:v>
      </x:c>
      <x:c r="E19" s="13" t="s">
        <x:v>162</x:v>
      </x:c>
    </x:row>
    <x:row r="20" ht="14.25" customHeight="1">
      <x:c r="A20" s="10">
        <x:v>18.0</x:v>
      </x:c>
      <x:c r="B20" s="13" t="s">
        <x:v>166</x:v>
      </x:c>
      <x:c r="C20" s="13" t="s">
        <x:v>139</x:v>
      </x:c>
      <x:c r="D20" s="13" t="s">
        <x:v>144</x:v>
      </x:c>
      <x:c r="E20" s="13" t="s">
        <x:v>145</x:v>
      </x:c>
    </x:row>
    <x:row r="21" ht="14.25" customHeight="1">
      <x:c r="A21" s="10">
        <x:v>19.0</x:v>
      </x:c>
      <x:c r="B21" s="13" t="s">
        <x:v>167</x:v>
      </x:c>
      <x:c r="C21" s="13" t="s">
        <x:v>139</x:v>
      </x:c>
      <x:c r="D21" s="13" t="s">
        <x:v>147</x:v>
      </x:c>
      <x:c r="E21" s="13" t="s">
        <x:v>148</x:v>
      </x:c>
    </x:row>
    <x:row r="22" ht="14.25" customHeight="1">
      <x:c r="A22" s="10">
        <x:v>20.0</x:v>
      </x:c>
      <x:c r="B22" s="13" t="s">
        <x:v>168</x:v>
      </x:c>
      <x:c r="C22" s="13" t="s">
        <x:v>139</x:v>
      </x:c>
      <x:c r="D22" s="13" t="s">
        <x:v>140</x:v>
      </x:c>
      <x:c r="E22" s="13" t="s">
        <x:v>141</x:v>
      </x:c>
    </x:row>
    <x:row r="23" ht="14.25" customHeight="1">
      <x:c r="A23" s="10">
        <x:v>21.0</x:v>
      </x:c>
      <x:c r="B23" s="13" t="s">
        <x:v>152</x:v>
      </x:c>
      <x:c r="C23" s="13" t="s">
        <x:v>139</x:v>
      </x:c>
      <x:c r="D23" s="13" t="s">
        <x:v>144</x:v>
      </x:c>
      <x:c r="E23" s="13" t="s">
        <x:v>150</x:v>
      </x:c>
    </x:row>
    <x:row r="24" ht="14.25" customHeight="1">
      <x:c r="A24" s="10">
        <x:v>22.0</x:v>
      </x:c>
      <x:c r="B24" s="13" t="s">
        <x:v>169</x:v>
      </x:c>
      <x:c r="C24" s="13" t="s">
        <x:v>139</x:v>
      </x:c>
      <x:c r="D24" s="13" t="s">
        <x:v>157</x:v>
      </x:c>
      <x:c r="E24" s="13" t="s">
        <x:v>158</x:v>
      </x:c>
    </x:row>
    <x:row r="25" ht="14.25" customHeight="1">
      <x:c r="A25" s="10">
        <x:v>23.0</x:v>
      </x:c>
      <x:c r="B25" s="13" t="s">
        <x:v>170</x:v>
      </x:c>
      <x:c r="C25" s="13" t="s">
        <x:v>139</x:v>
      </x:c>
      <x:c r="D25" s="13" t="s">
        <x:v>140</x:v>
      </x:c>
      <x:c r="E25" s="13" t="s">
        <x:v>141</x:v>
      </x:c>
    </x:row>
    <x:row r="26" ht="14.25" customHeight="1">
      <x:c r="A26" s="10">
        <x:v>24.0</x:v>
      </x:c>
      <x:c r="B26" s="13" t="s">
        <x:v>160</x:v>
      </x:c>
      <x:c r="C26" s="13" t="s">
        <x:v>139</x:v>
      </x:c>
      <x:c r="D26" s="13" t="s">
        <x:v>157</x:v>
      </x:c>
      <x:c r="E26" s="13" t="s">
        <x:v>158</x:v>
      </x:c>
    </x:row>
    <x:row r="27" ht="14.25" customHeight="1">
      <x:c r="A27" s="10">
        <x:v>25.0</x:v>
      </x:c>
      <x:c r="B27" s="13" t="s">
        <x:v>171</x:v>
      </x:c>
      <x:c r="C27" s="13" t="s">
        <x:v>139</x:v>
      </x:c>
      <x:c r="D27" s="13" t="s">
        <x:v>157</x:v>
      </x:c>
      <x:c r="E27" s="13" t="s">
        <x:v>162</x:v>
      </x:c>
    </x:row>
    <x:row r="28" ht="14.25" customHeight="1">
      <x:c r="A28" s="10">
        <x:v>26.0</x:v>
      </x:c>
      <x:c r="B28" s="13" t="s">
        <x:v>172</x:v>
      </x:c>
      <x:c r="C28" s="13" t="s">
        <x:v>143</x:v>
      </x:c>
      <x:c r="D28" s="13" t="s">
        <x:v>157</x:v>
      </x:c>
      <x:c r="E28" s="13" t="s">
        <x:v>162</x:v>
      </x:c>
    </x:row>
    <x:row r="29" ht="14.25" customHeight="1">
      <x:c r="A29" s="10">
        <x:v>27.0</x:v>
      </x:c>
      <x:c r="B29" s="13" t="s">
        <x:v>173</x:v>
      </x:c>
      <x:c r="C29" s="13" t="s">
        <x:v>139</x:v>
      </x:c>
      <x:c r="D29" s="13" t="s">
        <x:v>157</x:v>
      </x:c>
      <x:c r="E29" s="13" t="s">
        <x:v>158</x:v>
      </x:c>
    </x:row>
    <x:row r="30" ht="14.25" customHeight="1">
      <x:c r="A30" s="10">
        <x:v>28.0</x:v>
      </x:c>
      <x:c r="B30" s="13" t="s">
        <x:v>174</x:v>
      </x:c>
      <x:c r="C30" s="13" t="s">
        <x:v>143</x:v>
      </x:c>
      <x:c r="D30" s="13" t="s">
        <x:v>147</x:v>
      </x:c>
      <x:c r="E30" s="13" t="s">
        <x:v>148</x:v>
      </x:c>
    </x:row>
    <x:row r="31" ht="14.25" customHeight="1">
      <x:c r="A31" s="10">
        <x:v>29.0</x:v>
      </x:c>
      <x:c r="B31" s="13" t="s">
        <x:v>175</x:v>
      </x:c>
      <x:c r="C31" s="13" t="s">
        <x:v>139</x:v>
      </x:c>
      <x:c r="D31" s="13" t="s">
        <x:v>140</x:v>
      </x:c>
      <x:c r="E31" s="13" t="s">
        <x:v>141</x:v>
      </x:c>
    </x:row>
    <x:row r="32" ht="14.25" customHeight="1">
      <x:c r="A32" s="10">
        <x:v>30.0</x:v>
      </x:c>
      <x:c r="B32" s="13" t="s">
        <x:v>176</x:v>
      </x:c>
      <x:c r="C32" s="13" t="s">
        <x:v>139</x:v>
      </x:c>
      <x:c r="D32" s="13" t="s">
        <x:v>140</x:v>
      </x:c>
      <x:c r="E32" s="13" t="s">
        <x:v>155</x:v>
      </x:c>
    </x:row>
    <x:row r="33" ht="14.25" customHeight="1">
      <x:c r="A33" s="10">
        <x:v>31.0</x:v>
      </x:c>
      <x:c r="B33" s="13" t="s">
        <x:v>177</x:v>
      </x:c>
      <x:c r="C33" s="13" t="s">
        <x:v>139</x:v>
      </x:c>
      <x:c r="D33" s="13" t="s">
        <x:v>157</x:v>
      </x:c>
      <x:c r="E33" s="13" t="s">
        <x:v>158</x:v>
      </x:c>
    </x:row>
    <x:row r="34" ht="14.25" customHeight="1">
      <x:c r="A34" s="10">
        <x:v>32.0</x:v>
      </x:c>
      <x:c r="B34" s="13" t="s">
        <x:v>178</x:v>
      </x:c>
      <x:c r="C34" s="13" t="s">
        <x:v>139</x:v>
      </x:c>
      <x:c r="D34" s="13" t="s">
        <x:v>144</x:v>
      </x:c>
      <x:c r="E34" s="13" t="s">
        <x:v>145</x:v>
      </x:c>
    </x:row>
    <x:row r="35" ht="14.25" customHeight="1">
      <x:c r="A35" s="10">
        <x:v>33.0</x:v>
      </x:c>
      <x:c r="B35" s="13" t="s">
        <x:v>179</x:v>
      </x:c>
      <x:c r="C35" s="13" t="s">
        <x:v>143</x:v>
      </x:c>
      <x:c r="D35" s="13" t="s">
        <x:v>157</x:v>
      </x:c>
      <x:c r="E35" s="13" t="s">
        <x:v>162</x:v>
      </x:c>
    </x:row>
    <x:row r="36" ht="14.25" customHeight="1">
      <x:c r="A36" s="10">
        <x:v>34.0</x:v>
      </x:c>
      <x:c r="B36" s="13" t="s">
        <x:v>180</x:v>
      </x:c>
      <x:c r="C36" s="13" t="s">
        <x:v>139</x:v>
      </x:c>
      <x:c r="D36" s="13" t="s">
        <x:v>140</x:v>
      </x:c>
      <x:c r="E36" s="13" t="s">
        <x:v>141</x:v>
      </x:c>
    </x:row>
    <x:row r="37" ht="14.25" customHeight="1">
      <x:c r="A37" s="10">
        <x:v>35.0</x:v>
      </x:c>
      <x:c r="B37" s="13" t="s">
        <x:v>181</x:v>
      </x:c>
      <x:c r="C37" s="13" t="s">
        <x:v>139</x:v>
      </x:c>
      <x:c r="D37" s="13" t="s">
        <x:v>140</x:v>
      </x:c>
      <x:c r="E37" s="13" t="s">
        <x:v>155</x:v>
      </x:c>
    </x:row>
    <x:row r="38" ht="14.25" customHeight="1">
      <x:c r="A38" s="10">
        <x:v>36.0</x:v>
      </x:c>
      <x:c r="B38" s="13" t="s">
        <x:v>182</x:v>
      </x:c>
      <x:c r="C38" s="13" t="s">
        <x:v>139</x:v>
      </x:c>
      <x:c r="D38" s="13" t="s">
        <x:v>140</x:v>
      </x:c>
      <x:c r="E38" s="13" t="s">
        <x:v>141</x:v>
      </x:c>
    </x:row>
    <x:row r="39" ht="14.25" customHeight="1">
      <x:c r="A39" s="10">
        <x:v>37.0</x:v>
      </x:c>
      <x:c r="B39" s="13" t="s">
        <x:v>183</x:v>
      </x:c>
      <x:c r="C39" s="13" t="s">
        <x:v>139</x:v>
      </x:c>
      <x:c r="D39" s="13" t="s">
        <x:v>147</x:v>
      </x:c>
      <x:c r="E39" s="13" t="s">
        <x:v>148</x:v>
      </x:c>
    </x:row>
    <x:row r="40" ht="14.25" customHeight="1">
      <x:c r="A40" s="10">
        <x:v>38.0</x:v>
      </x:c>
      <x:c r="B40" s="13" t="s">
        <x:v>184</x:v>
      </x:c>
      <x:c r="C40" s="13" t="s">
        <x:v>143</x:v>
      </x:c>
      <x:c r="D40" s="13" t="s">
        <x:v>144</x:v>
      </x:c>
      <x:c r="E40" s="13" t="s">
        <x:v>150</x:v>
      </x:c>
    </x:row>
    <x:row r="41" ht="14.25" customHeight="1">
      <x:c r="A41" s="10">
        <x:v>39.0</x:v>
      </x:c>
      <x:c r="B41" s="13" t="s">
        <x:v>180</x:v>
      </x:c>
      <x:c r="C41" s="13" t="s">
        <x:v>139</x:v>
      </x:c>
      <x:c r="D41" s="13" t="s">
        <x:v>147</x:v>
      </x:c>
      <x:c r="E41" s="13" t="s">
        <x:v>148</x:v>
      </x:c>
    </x:row>
    <x:row r="42" ht="14.25" customHeight="1">
      <x:c r="A42" s="10">
        <x:v>40.0</x:v>
      </x:c>
      <x:c r="B42" s="13" t="s">
        <x:v>185</x:v>
      </x:c>
      <x:c r="C42" s="13" t="s">
        <x:v>139</x:v>
      </x:c>
      <x:c r="D42" s="13" t="s">
        <x:v>140</x:v>
      </x:c>
      <x:c r="E42" s="13" t="s">
        <x:v>155</x:v>
      </x:c>
    </x:row>
    <x:row r="43" ht="14.25" customHeight="1">
      <x:c r="A43" s="10">
        <x:v>41.0</x:v>
      </x:c>
      <x:c r="B43" s="13" t="s">
        <x:v>186</x:v>
      </x:c>
      <x:c r="C43" s="13" t="s">
        <x:v>139</x:v>
      </x:c>
      <x:c r="D43" s="13" t="s">
        <x:v>140</x:v>
      </x:c>
      <x:c r="E43" s="13" t="s">
        <x:v>141</x:v>
      </x:c>
    </x:row>
    <x:row r="44" ht="14.25" customHeight="1">
      <x:c r="A44" s="10">
        <x:v>42.0</x:v>
      </x:c>
      <x:c r="B44" s="13" t="s">
        <x:v>187</x:v>
      </x:c>
      <x:c r="C44" s="13" t="s">
        <x:v>139</x:v>
      </x:c>
      <x:c r="D44" s="13" t="s">
        <x:v>157</x:v>
      </x:c>
      <x:c r="E44" s="13" t="s">
        <x:v>158</x:v>
      </x:c>
    </x:row>
    <x:row r="45" ht="14.25" customHeight="1">
      <x:c r="A45" s="10">
        <x:v>43.0</x:v>
      </x:c>
      <x:c r="B45" s="13" t="s">
        <x:v>166</x:v>
      </x:c>
      <x:c r="C45" s="13" t="s">
        <x:v>139</x:v>
      </x:c>
      <x:c r="D45" s="13" t="s">
        <x:v>157</x:v>
      </x:c>
      <x:c r="E45" s="13" t="s">
        <x:v>158</x:v>
      </x:c>
    </x:row>
    <x:row r="46" ht="14.25" customHeight="1">
      <x:c r="A46" s="10">
        <x:v>44.0</x:v>
      </x:c>
      <x:c r="B46" s="13" t="s">
        <x:v>166</x:v>
      </x:c>
      <x:c r="C46" s="13" t="s">
        <x:v>139</x:v>
      </x:c>
      <x:c r="D46" s="13" t="s">
        <x:v>157</x:v>
      </x:c>
      <x:c r="E46" s="13" t="s">
        <x:v>162</x:v>
      </x:c>
    </x:row>
    <x:row r="47" ht="14.25" customHeight="1">
      <x:c r="A47" s="10">
        <x:v>45.0</x:v>
      </x:c>
      <x:c r="B47" s="13" t="s">
        <x:v>188</x:v>
      </x:c>
      <x:c r="C47" s="13" t="s">
        <x:v>139</x:v>
      </x:c>
      <x:c r="D47" s="13" t="s">
        <x:v>140</x:v>
      </x:c>
      <x:c r="E47" s="13" t="s">
        <x:v>155</x:v>
      </x:c>
    </x:row>
    <x:row r="48" ht="14.25" customHeight="1">
      <x:c r="A48" s="10">
        <x:v>46.0</x:v>
      </x:c>
      <x:c r="B48" s="13" t="s">
        <x:v>189</x:v>
      </x:c>
      <x:c r="C48" s="13" t="s">
        <x:v>139</x:v>
      </x:c>
      <x:c r="D48" s="13" t="s">
        <x:v>157</x:v>
      </x:c>
      <x:c r="E48" s="13" t="s">
        <x:v>162</x:v>
      </x:c>
    </x:row>
    <x:row r="49" ht="14.25" customHeight="1">
      <x:c r="A49" s="10">
        <x:v>47.0</x:v>
      </x:c>
      <x:c r="B49" s="13" t="s">
        <x:v>180</x:v>
      </x:c>
      <x:c r="C49" s="13" t="s">
        <x:v>139</x:v>
      </x:c>
      <x:c r="D49" s="13" t="s">
        <x:v>157</x:v>
      </x:c>
      <x:c r="E49" s="13" t="s">
        <x:v>162</x:v>
      </x:c>
    </x:row>
    <x:row r="50" ht="14.25" customHeight="1">
      <x:c r="A50" s="10">
        <x:v>48.0</x:v>
      </x:c>
      <x:c r="B50" s="13" t="s">
        <x:v>189</x:v>
      </x:c>
      <x:c r="C50" s="13" t="s">
        <x:v>143</x:v>
      </x:c>
      <x:c r="D50" s="13" t="s">
        <x:v>157</x:v>
      </x:c>
      <x:c r="E50" s="13" t="s">
        <x:v>162</x:v>
      </x:c>
    </x:row>
    <x:row r="51" ht="14.25" customHeight="1">
      <x:c r="A51" s="10">
        <x:v>49.0</x:v>
      </x:c>
      <x:c r="B51" s="13" t="s">
        <x:v>190</x:v>
      </x:c>
      <x:c r="C51" s="13" t="s">
        <x:v>139</x:v>
      </x:c>
      <x:c r="D51" s="13" t="s">
        <x:v>157</x:v>
      </x:c>
      <x:c r="E51" s="13" t="s">
        <x:v>162</x:v>
      </x:c>
    </x:row>
    <x:row r="52" ht="14.25" customHeight="1">
      <x:c r="A52" s="10">
        <x:v>50.0</x:v>
      </x:c>
      <x:c r="B52" s="13" t="s">
        <x:v>191</x:v>
      </x:c>
      <x:c r="C52" s="13" t="s">
        <x:v>139</x:v>
      </x:c>
      <x:c r="D52" s="13" t="s">
        <x:v>147</x:v>
      </x:c>
      <x:c r="E52" s="13" t="s">
        <x:v>148</x:v>
      </x:c>
    </x:row>
    <x:row r="53" ht="14.25" customHeight="1">
      <x:c r="A53" s="10">
        <x:v>51.0</x:v>
      </x:c>
      <x:c r="B53" s="13" t="s">
        <x:v>192</x:v>
      </x:c>
      <x:c r="C53" s="13" t="s">
        <x:v>139</x:v>
      </x:c>
      <x:c r="D53" s="13" t="s">
        <x:v>157</x:v>
      </x:c>
      <x:c r="E53" s="13" t="s">
        <x:v>162</x:v>
      </x:c>
    </x:row>
    <x:row r="54" ht="14.25" customHeight="1">
      <x:c r="A54" s="10">
        <x:v>52.0</x:v>
      </x:c>
      <x:c r="B54" s="13" t="s">
        <x:v>187</x:v>
      </x:c>
      <x:c r="C54" s="13" t="s">
        <x:v>139</x:v>
      </x:c>
      <x:c r="D54" s="13" t="s">
        <x:v>140</x:v>
      </x:c>
      <x:c r="E54" s="13" t="s">
        <x:v>141</x:v>
      </x:c>
    </x:row>
    <x:row r="55" ht="14.25" customHeight="1">
      <x:c r="A55" s="10">
        <x:v>53.0</x:v>
      </x:c>
      <x:c r="B55" s="13" t="s">
        <x:v>193</x:v>
      </x:c>
      <x:c r="C55" s="13" t="s">
        <x:v>143</x:v>
      </x:c>
      <x:c r="D55" s="13" t="s">
        <x:v>157</x:v>
      </x:c>
      <x:c r="E55" s="13" t="s">
        <x:v>158</x:v>
      </x:c>
    </x:row>
    <x:row r="56" ht="14.25" customHeight="1">
      <x:c r="A56" s="10">
        <x:v>54.0</x:v>
      </x:c>
      <x:c r="B56" s="13" t="s">
        <x:v>194</x:v>
      </x:c>
      <x:c r="C56" s="13" t="s">
        <x:v>139</x:v>
      </x:c>
      <x:c r="D56" s="13" t="s">
        <x:v>157</x:v>
      </x:c>
      <x:c r="E56" s="13" t="s">
        <x:v>162</x:v>
      </x:c>
    </x:row>
    <x:row r="57" ht="14.25" customHeight="1">
      <x:c r="A57" s="10">
        <x:v>55.0</x:v>
      </x:c>
      <x:c r="B57" s="13" t="s">
        <x:v>195</x:v>
      </x:c>
      <x:c r="C57" s="13" t="s">
        <x:v>139</x:v>
      </x:c>
      <x:c r="D57" s="13" t="s">
        <x:v>147</x:v>
      </x:c>
      <x:c r="E57" s="13" t="s">
        <x:v>148</x:v>
      </x:c>
    </x:row>
    <x:row r="58" ht="14.25" customHeight="1">
      <x:c r="A58" s="10">
        <x:v>56.0</x:v>
      </x:c>
      <x:c r="B58" s="13" t="s">
        <x:v>196</x:v>
      </x:c>
      <x:c r="C58" s="13" t="s">
        <x:v>139</x:v>
      </x:c>
      <x:c r="D58" s="13" t="s">
        <x:v>140</x:v>
      </x:c>
      <x:c r="E58" s="13" t="s">
        <x:v>141</x:v>
      </x:c>
    </x:row>
    <x:row r="59" ht="14.25" customHeight="1">
      <x:c r="A59" s="10">
        <x:v>57.0</x:v>
      </x:c>
      <x:c r="B59" s="13" t="s">
        <x:v>197</x:v>
      </x:c>
      <x:c r="C59" s="13" t="s">
        <x:v>139</x:v>
      </x:c>
      <x:c r="D59" s="13" t="s">
        <x:v>147</x:v>
      </x:c>
      <x:c r="E59" s="13" t="s">
        <x:v>148</x:v>
      </x:c>
    </x:row>
    <x:row r="60" ht="14.25" customHeight="1">
      <x:c r="A60" s="10">
        <x:v>58.0</x:v>
      </x:c>
      <x:c r="B60" s="13" t="s">
        <x:v>189</x:v>
      </x:c>
      <x:c r="C60" s="13" t="s">
        <x:v>139</x:v>
      </x:c>
      <x:c r="D60" s="13" t="s">
        <x:v>157</x:v>
      </x:c>
      <x:c r="E60" s="13" t="s">
        <x:v>162</x:v>
      </x:c>
    </x:row>
    <x:row r="61" ht="14.25" customHeight="1">
      <x:c r="A61" s="10">
        <x:v>59.0</x:v>
      </x:c>
      <x:c r="B61" s="13" t="s">
        <x:v>198</x:v>
      </x:c>
      <x:c r="C61" s="13" t="s">
        <x:v>143</x:v>
      </x:c>
      <x:c r="D61" s="13" t="s">
        <x:v>140</x:v>
      </x:c>
      <x:c r="E61" s="13" t="s">
        <x:v>141</x:v>
      </x:c>
    </x:row>
    <x:row r="62" ht="14.25" customHeight="1">
      <x:c r="A62" s="10">
        <x:v>60.0</x:v>
      </x:c>
      <x:c r="B62" s="13" t="s">
        <x:v>199</x:v>
      </x:c>
      <x:c r="C62" s="13" t="s">
        <x:v>139</x:v>
      </x:c>
      <x:c r="D62" s="13" t="s">
        <x:v>147</x:v>
      </x:c>
      <x:c r="E62" s="13" t="s">
        <x:v>148</x:v>
      </x:c>
    </x:row>
    <x:row r="63" ht="14.25" customHeight="1">
      <x:c r="A63" s="10">
        <x:v>61.0</x:v>
      </x:c>
      <x:c r="B63" s="13" t="s">
        <x:v>151</x:v>
      </x:c>
      <x:c r="C63" s="13" t="s">
        <x:v>139</x:v>
      </x:c>
      <x:c r="D63" s="13" t="s">
        <x:v>157</x:v>
      </x:c>
      <x:c r="E63" s="13" t="s">
        <x:v>158</x:v>
      </x:c>
    </x:row>
    <x:row r="64" ht="14.25" customHeight="1">
      <x:c r="A64" s="10">
        <x:v>62.0</x:v>
      </x:c>
      <x:c r="B64" s="13" t="s">
        <x:v>200</x:v>
      </x:c>
      <x:c r="C64" s="13" t="s">
        <x:v>139</x:v>
      </x:c>
      <x:c r="D64" s="13" t="s">
        <x:v>144</x:v>
      </x:c>
      <x:c r="E64" s="13" t="s">
        <x:v>145</x:v>
      </x:c>
    </x:row>
    <x:row r="65" ht="14.25" customHeight="1">
      <x:c r="A65" s="10">
        <x:v>63.0</x:v>
      </x:c>
      <x:c r="B65" s="13" t="s">
        <x:v>201</x:v>
      </x:c>
      <x:c r="C65" s="13" t="s">
        <x:v>139</x:v>
      </x:c>
      <x:c r="D65" s="13" t="s">
        <x:v>157</x:v>
      </x:c>
      <x:c r="E65" s="13" t="s">
        <x:v>158</x:v>
      </x:c>
    </x:row>
    <x:row r="66" ht="14.25" customHeight="1">
      <x:c r="A66" s="10">
        <x:v>64.0</x:v>
      </x:c>
      <x:c r="B66" s="13" t="s">
        <x:v>190</x:v>
      </x:c>
      <x:c r="C66" s="13" t="s">
        <x:v>139</x:v>
      </x:c>
      <x:c r="D66" s="13" t="s">
        <x:v>157</x:v>
      </x:c>
      <x:c r="E66" s="13" t="s">
        <x:v>162</x:v>
      </x:c>
    </x:row>
    <x:row r="67" ht="14.25" customHeight="1">
      <x:c r="A67" s="10">
        <x:v>65.0</x:v>
      </x:c>
      <x:c r="B67" s="13" t="s">
        <x:v>202</x:v>
      </x:c>
      <x:c r="C67" s="13" t="s">
        <x:v>139</x:v>
      </x:c>
      <x:c r="D67" s="13" t="s">
        <x:v>140</x:v>
      </x:c>
      <x:c r="E67" s="13" t="s">
        <x:v>141</x:v>
      </x:c>
    </x:row>
    <x:row r="68" ht="14.25" customHeight="1">
      <x:c r="A68" s="10">
        <x:v>66.0</x:v>
      </x:c>
      <x:c r="B68" s="13" t="s">
        <x:v>203</x:v>
      </x:c>
      <x:c r="C68" s="13" t="s">
        <x:v>139</x:v>
      </x:c>
      <x:c r="D68" s="13" t="s">
        <x:v>147</x:v>
      </x:c>
      <x:c r="E68" s="13" t="s">
        <x:v>148</x:v>
      </x:c>
    </x:row>
    <x:row r="69" ht="14.25" customHeight="1">
      <x:c r="A69" s="10">
        <x:v>67.0</x:v>
      </x:c>
      <x:c r="B69" s="13" t="s">
        <x:v>204</x:v>
      </x:c>
      <x:c r="C69" s="13" t="s">
        <x:v>139</x:v>
      </x:c>
      <x:c r="D69" s="13" t="s">
        <x:v>144</x:v>
      </x:c>
      <x:c r="E69" s="13" t="s">
        <x:v>145</x:v>
      </x:c>
    </x:row>
    <x:row r="70" ht="14.25" customHeight="1">
      <x:c r="A70" s="10">
        <x:v>68.0</x:v>
      </x:c>
      <x:c r="B70" s="13" t="s">
        <x:v>205</x:v>
      </x:c>
      <x:c r="C70" s="13" t="s">
        <x:v>139</x:v>
      </x:c>
      <x:c r="D70" s="13" t="s">
        <x:v>147</x:v>
      </x:c>
      <x:c r="E70" s="13" t="s">
        <x:v>148</x:v>
      </x:c>
    </x:row>
    <x:row r="71" ht="14.25" customHeight="1">
      <x:c r="A71" s="10">
        <x:v>69.0</x:v>
      </x:c>
      <x:c r="B71" s="13" t="s">
        <x:v>206</x:v>
      </x:c>
      <x:c r="C71" s="13" t="s">
        <x:v>139</x:v>
      </x:c>
      <x:c r="D71" s="13" t="s">
        <x:v>140</x:v>
      </x:c>
      <x:c r="E71" s="13" t="s">
        <x:v>155</x:v>
      </x:c>
    </x:row>
    <x:row r="72" ht="14.25" customHeight="1">
      <x:c r="A72" s="10">
        <x:v>70.0</x:v>
      </x:c>
      <x:c r="B72" s="13" t="s">
        <x:v>151</x:v>
      </x:c>
      <x:c r="C72" s="13" t="s">
        <x:v>143</x:v>
      </x:c>
      <x:c r="D72" s="13" t="s">
        <x:v>144</x:v>
      </x:c>
      <x:c r="E72" s="13" t="s">
        <x:v>150</x:v>
      </x:c>
    </x:row>
    <x:row r="73" ht="14.25" customHeight="1">
      <x:c r="A73" s="10">
        <x:v>71.0</x:v>
      </x:c>
      <x:c r="B73" s="13" t="s">
        <x:v>207</x:v>
      </x:c>
      <x:c r="C73" s="13" t="s">
        <x:v>143</x:v>
      </x:c>
      <x:c r="D73" s="13" t="s">
        <x:v>157</x:v>
      </x:c>
      <x:c r="E73" s="13" t="s">
        <x:v>158</x:v>
      </x:c>
    </x:row>
    <x:row r="74" ht="14.25" customHeight="1">
      <x:c r="A74" s="10">
        <x:v>72.0</x:v>
      </x:c>
      <x:c r="B74" s="13" t="s">
        <x:v>208</x:v>
      </x:c>
      <x:c r="C74" s="13" t="s">
        <x:v>143</x:v>
      </x:c>
      <x:c r="D74" s="13" t="s">
        <x:v>144</x:v>
      </x:c>
      <x:c r="E74" s="13" t="s">
        <x:v>150</x:v>
      </x:c>
    </x:row>
    <x:row r="75" ht="14.25" customHeight="1">
      <x:c r="A75" s="10">
        <x:v>73.0</x:v>
      </x:c>
      <x:c r="B75" s="13" t="s">
        <x:v>209</x:v>
      </x:c>
      <x:c r="C75" s="13" t="s">
        <x:v>139</x:v>
      </x:c>
      <x:c r="D75" s="13" t="s">
        <x:v>140</x:v>
      </x:c>
      <x:c r="E75" s="13" t="s">
        <x:v>155</x:v>
      </x:c>
    </x:row>
    <x:row r="76" ht="14.25" customHeight="1">
      <x:c r="A76" s="10">
        <x:v>74.0</x:v>
      </x:c>
      <x:c r="B76" s="13" t="s">
        <x:v>165</x:v>
      </x:c>
      <x:c r="C76" s="13" t="s">
        <x:v>139</x:v>
      </x:c>
      <x:c r="D76" s="13" t="s">
        <x:v>140</x:v>
      </x:c>
      <x:c r="E76" s="13" t="s">
        <x:v>155</x:v>
      </x:c>
    </x:row>
    <x:row r="77" ht="14.25" customHeight="1">
      <x:c r="A77" s="10">
        <x:v>75.0</x:v>
      </x:c>
      <x:c r="B77" s="13" t="s">
        <x:v>210</x:v>
      </x:c>
      <x:c r="C77" s="13" t="s">
        <x:v>139</x:v>
      </x:c>
      <x:c r="D77" s="13" t="s">
        <x:v>140</x:v>
      </x:c>
      <x:c r="E77" s="13" t="s">
        <x:v>141</x:v>
      </x:c>
    </x:row>
    <x:row r="78" ht="14.25" customHeight="1">
      <x:c r="A78" s="10">
        <x:v>76.0</x:v>
      </x:c>
      <x:c r="B78" s="13" t="s">
        <x:v>211</x:v>
      </x:c>
      <x:c r="C78" s="13" t="s">
        <x:v>139</x:v>
      </x:c>
      <x:c r="D78" s="13" t="s">
        <x:v>157</x:v>
      </x:c>
      <x:c r="E78" s="13" t="s">
        <x:v>158</x:v>
      </x:c>
    </x:row>
    <x:row r="79" ht="14.25" customHeight="1">
      <x:c r="A79" s="10">
        <x:v>77.0</x:v>
      </x:c>
      <x:c r="B79" s="13" t="s">
        <x:v>212</x:v>
      </x:c>
      <x:c r="C79" s="13" t="s">
        <x:v>139</x:v>
      </x:c>
      <x:c r="D79" s="13" t="s">
        <x:v>147</x:v>
      </x:c>
      <x:c r="E79" s="13" t="s">
        <x:v>148</x:v>
      </x:c>
    </x:row>
    <x:row r="80" ht="14.25" customHeight="1">
      <x:c r="A80" s="10">
        <x:v>78.0</x:v>
      </x:c>
      <x:c r="B80" s="13" t="s">
        <x:v>207</x:v>
      </x:c>
      <x:c r="C80" s="13" t="s">
        <x:v>139</x:v>
      </x:c>
      <x:c r="D80" s="13" t="s">
        <x:v>144</x:v>
      </x:c>
      <x:c r="E80" s="13" t="s">
        <x:v>150</x:v>
      </x:c>
    </x:row>
    <x:row r="81" ht="14.25" customHeight="1">
      <x:c r="A81" s="10">
        <x:v>79.0</x:v>
      </x:c>
      <x:c r="B81" s="13" t="s">
        <x:v>167</x:v>
      </x:c>
      <x:c r="C81" s="13" t="s">
        <x:v>139</x:v>
      </x:c>
      <x:c r="D81" s="13" t="s">
        <x:v>140</x:v>
      </x:c>
      <x:c r="E81" s="13" t="s">
        <x:v>141</x:v>
      </x:c>
    </x:row>
    <x:row r="82" ht="14.25" customHeight="1">
      <x:c r="A82" s="10">
        <x:v>80.0</x:v>
      </x:c>
      <x:c r="B82" s="13" t="s">
        <x:v>197</x:v>
      </x:c>
      <x:c r="C82" s="13" t="s">
        <x:v>139</x:v>
      </x:c>
      <x:c r="D82" s="13" t="s">
        <x:v>140</x:v>
      </x:c>
      <x:c r="E82" s="13" t="s">
        <x:v>155</x:v>
      </x:c>
    </x:row>
    <x:row r="83" ht="14.25" customHeight="1">
      <x:c r="A83" s="10">
        <x:v>81.0</x:v>
      </x:c>
      <x:c r="B83" s="13" t="s">
        <x:v>168</x:v>
      </x:c>
      <x:c r="C83" s="13" t="s">
        <x:v>139</x:v>
      </x:c>
      <x:c r="D83" s="13" t="s">
        <x:v>157</x:v>
      </x:c>
      <x:c r="E83" s="13" t="s">
        <x:v>158</x:v>
      </x:c>
    </x:row>
    <x:row r="84" ht="14.25" customHeight="1">
      <x:c r="A84" s="10">
        <x:v>82.0</x:v>
      </x:c>
      <x:c r="B84" s="13" t="s">
        <x:v>213</x:v>
      </x:c>
      <x:c r="C84" s="13" t="s">
        <x:v>143</x:v>
      </x:c>
      <x:c r="D84" s="13" t="s">
        <x:v>140</x:v>
      </x:c>
      <x:c r="E84" s="13" t="s">
        <x:v>141</x:v>
      </x:c>
    </x:row>
    <x:row r="85" ht="14.25" customHeight="1">
      <x:c r="A85" s="10">
        <x:v>83.0</x:v>
      </x:c>
      <x:c r="B85" s="13" t="s">
        <x:v>200</x:v>
      </x:c>
      <x:c r="C85" s="13" t="s">
        <x:v>139</x:v>
      </x:c>
      <x:c r="D85" s="13" t="s">
        <x:v>147</x:v>
      </x:c>
      <x:c r="E85" s="13" t="s">
        <x:v>148</x:v>
      </x:c>
    </x:row>
    <x:row r="86" ht="14.25" customHeight="1">
      <x:c r="A86" s="10">
        <x:v>84.0</x:v>
      </x:c>
      <x:c r="B86" s="13" t="s">
        <x:v>149</x:v>
      </x:c>
      <x:c r="C86" s="13" t="s">
        <x:v>139</x:v>
      </x:c>
      <x:c r="D86" s="13" t="s">
        <x:v>140</x:v>
      </x:c>
      <x:c r="E86" s="13" t="s">
        <x:v>141</x:v>
      </x:c>
    </x:row>
    <x:row r="87" ht="14.25" customHeight="1">
      <x:c r="A87" s="10">
        <x:v>85.0</x:v>
      </x:c>
      <x:c r="B87" s="13" t="s">
        <x:v>214</x:v>
      </x:c>
      <x:c r="C87" s="13" t="s">
        <x:v>139</x:v>
      </x:c>
      <x:c r="D87" s="13" t="s">
        <x:v>144</x:v>
      </x:c>
      <x:c r="E87" s="13" t="s">
        <x:v>150</x:v>
      </x:c>
    </x:row>
    <x:row r="88" ht="14.25" customHeight="1">
      <x:c r="A88" s="10">
        <x:v>86.0</x:v>
      </x:c>
      <x:c r="B88" s="13" t="s">
        <x:v>215</x:v>
      </x:c>
      <x:c r="C88" s="13" t="s">
        <x:v>143</x:v>
      </x:c>
      <x:c r="D88" s="13" t="s">
        <x:v>144</x:v>
      </x:c>
      <x:c r="E88" s="13" t="s">
        <x:v>145</x:v>
      </x:c>
    </x:row>
    <x:row r="89" ht="14.25" customHeight="1">
      <x:c r="A89" s="10">
        <x:v>87.0</x:v>
      </x:c>
      <x:c r="B89" s="13" t="s">
        <x:v>174</x:v>
      </x:c>
      <x:c r="C89" s="13" t="s">
        <x:v>143</x:v>
      </x:c>
      <x:c r="D89" s="13" t="s">
        <x:v>140</x:v>
      </x:c>
      <x:c r="E89" s="13" t="s">
        <x:v>141</x:v>
      </x:c>
    </x:row>
    <x:row r="90" ht="14.25" customHeight="1">
      <x:c r="A90" s="10">
        <x:v>88.0</x:v>
      </x:c>
      <x:c r="B90" s="13" t="s">
        <x:v>197</x:v>
      </x:c>
      <x:c r="C90" s="13" t="s">
        <x:v>139</x:v>
      </x:c>
      <x:c r="D90" s="13" t="s">
        <x:v>140</x:v>
      </x:c>
      <x:c r="E90" s="13" t="s">
        <x:v>141</x:v>
      </x:c>
    </x:row>
    <x:row r="91" ht="14.25" customHeight="1">
      <x:c r="A91" s="10">
        <x:v>89.0</x:v>
      </x:c>
      <x:c r="B91" s="13" t="s">
        <x:v>216</x:v>
      </x:c>
      <x:c r="C91" s="13" t="s">
        <x:v>143</x:v>
      </x:c>
      <x:c r="D91" s="13" t="s">
        <x:v>157</x:v>
      </x:c>
      <x:c r="E91" s="13" t="s">
        <x:v>158</x:v>
      </x:c>
    </x:row>
    <x:row r="92" ht="14.25" customHeight="1">
      <x:c r="A92" s="10">
        <x:v>90.0</x:v>
      </x:c>
      <x:c r="B92" s="13" t="s">
        <x:v>217</x:v>
      </x:c>
      <x:c r="C92" s="13" t="s">
        <x:v>139</x:v>
      </x:c>
      <x:c r="D92" s="13" t="s">
        <x:v>157</x:v>
      </x:c>
      <x:c r="E92" s="13" t="s">
        <x:v>158</x:v>
      </x:c>
    </x:row>
    <x:row r="93" ht="14.25" customHeight="1">
      <x:c r="A93" s="10">
        <x:v>91.0</x:v>
      </x:c>
      <x:c r="B93" s="13" t="s">
        <x:v>218</x:v>
      </x:c>
      <x:c r="C93" s="13" t="s">
        <x:v>143</x:v>
      </x:c>
      <x:c r="D93" s="13" t="s">
        <x:v>140</x:v>
      </x:c>
      <x:c r="E93" s="13" t="s">
        <x:v>141</x:v>
      </x:c>
    </x:row>
    <x:row r="94" ht="14.25" customHeight="1">
      <x:c r="A94" s="10">
        <x:v>92.0</x:v>
      </x:c>
      <x:c r="B94" s="13" t="s">
        <x:v>187</x:v>
      </x:c>
      <x:c r="C94" s="13" t="s">
        <x:v>143</x:v>
      </x:c>
      <x:c r="D94" s="13" t="s">
        <x:v>147</x:v>
      </x:c>
      <x:c r="E94" s="13" t="s">
        <x:v>148</x:v>
      </x:c>
    </x:row>
    <x:row r="95" ht="14.25" customHeight="1">
      <x:c r="A95" s="10">
        <x:v>93.0</x:v>
      </x:c>
      <x:c r="B95" s="13" t="s">
        <x:v>219</x:v>
      </x:c>
      <x:c r="C95" s="13" t="s">
        <x:v>139</x:v>
      </x:c>
      <x:c r="D95" s="13" t="s">
        <x:v>147</x:v>
      </x:c>
      <x:c r="E95" s="13" t="s">
        <x:v>148</x:v>
      </x:c>
    </x:row>
    <x:row r="96" ht="14.25" customHeight="1">
      <x:c r="A96" s="10">
        <x:v>94.0</x:v>
      </x:c>
      <x:c r="B96" s="13" t="s">
        <x:v>189</x:v>
      </x:c>
      <x:c r="C96" s="13" t="s">
        <x:v>139</x:v>
      </x:c>
      <x:c r="D96" s="13" t="s">
        <x:v>157</x:v>
      </x:c>
      <x:c r="E96" s="13" t="s">
        <x:v>158</x:v>
      </x:c>
    </x:row>
    <x:row r="97" ht="14.25" customHeight="1">
      <x:c r="A97" s="10">
        <x:v>95.0</x:v>
      </x:c>
      <x:c r="B97" s="13" t="s">
        <x:v>188</x:v>
      </x:c>
      <x:c r="C97" s="13" t="s">
        <x:v>139</x:v>
      </x:c>
      <x:c r="D97" s="13" t="s">
        <x:v>157</x:v>
      </x:c>
      <x:c r="E97" s="13" t="s">
        <x:v>162</x:v>
      </x:c>
    </x:row>
    <x:row r="98" ht="14.25" customHeight="1">
      <x:c r="A98" s="10">
        <x:v>96.0</x:v>
      </x:c>
      <x:c r="B98" s="13" t="s">
        <x:v>160</x:v>
      </x:c>
      <x:c r="C98" s="13" t="s">
        <x:v>139</x:v>
      </x:c>
      <x:c r="D98" s="13" t="s">
        <x:v>157</x:v>
      </x:c>
      <x:c r="E98" s="13" t="s">
        <x:v>162</x:v>
      </x:c>
    </x:row>
    <x:row r="99" ht="14.25" customHeight="1">
      <x:c r="A99" s="10">
        <x:v>97.0</x:v>
      </x:c>
      <x:c r="B99" s="13" t="s">
        <x:v>213</x:v>
      </x:c>
      <x:c r="C99" s="13" t="s">
        <x:v>139</x:v>
      </x:c>
      <x:c r="D99" s="13" t="s">
        <x:v>144</x:v>
      </x:c>
      <x:c r="E99" s="13" t="s">
        <x:v>145</x:v>
      </x:c>
    </x:row>
    <x:row r="100" ht="14.25" customHeight="1">
      <x:c r="A100" s="10">
        <x:v>98.0</x:v>
      </x:c>
      <x:c r="B100" s="13" t="s">
        <x:v>220</x:v>
      </x:c>
      <x:c r="C100" s="13" t="s">
        <x:v>143</x:v>
      </x:c>
      <x:c r="D100" s="13" t="s">
        <x:v>144</x:v>
      </x:c>
      <x:c r="E100" s="13" t="s">
        <x:v>145</x:v>
      </x:c>
    </x:row>
    <x:row r="101" ht="14.25" customHeight="1">
      <x:c r="A101" s="10">
        <x:v>99.0</x:v>
      </x:c>
      <x:c r="B101" s="13" t="s">
        <x:v>221</x:v>
      </x:c>
      <x:c r="C101" s="13" t="s">
        <x:v>139</x:v>
      </x:c>
      <x:c r="D101" s="13" t="s">
        <x:v>147</x:v>
      </x:c>
      <x:c r="E101" s="13" t="s">
        <x:v>148</x:v>
      </x:c>
    </x:row>
    <x:row r="102" ht="14.25" customHeight="1">
      <x:c r="A102" s="10">
        <x:v>100.0</x:v>
      </x:c>
      <x:c r="B102" s="13" t="s">
        <x:v>222</x:v>
      </x:c>
      <x:c r="C102" s="13" t="s">
        <x:v>139</x:v>
      </x:c>
      <x:c r="D102" s="13" t="s">
        <x:v>157</x:v>
      </x:c>
      <x:c r="E102" s="13" t="s">
        <x:v>158</x:v>
      </x:c>
    </x:row>
    <x:row r="103" ht="14.25" customHeight="1">
      <x:c r="A103" s="10">
        <x:v>101.0</x:v>
      </x:c>
      <x:c r="B103" s="13" t="s">
        <x:v>223</x:v>
      </x:c>
      <x:c r="C103" s="13" t="s">
        <x:v>143</x:v>
      </x:c>
      <x:c r="D103" s="13" t="s">
        <x:v>147</x:v>
      </x:c>
      <x:c r="E103" s="13" t="s">
        <x:v>148</x:v>
      </x:c>
    </x:row>
    <x:row r="104" ht="14.25" customHeight="1">
      <x:c r="A104" s="10">
        <x:v>102.0</x:v>
      </x:c>
      <x:c r="B104" s="13" t="s">
        <x:v>224</x:v>
      </x:c>
      <x:c r="C104" s="13" t="s">
        <x:v>139</x:v>
      </x:c>
      <x:c r="D104" s="13" t="s">
        <x:v>147</x:v>
      </x:c>
      <x:c r="E104" s="13" t="s">
        <x:v>148</x:v>
      </x:c>
    </x:row>
    <x:row r="105" ht="14.25" customHeight="1">
      <x:c r="A105" s="10">
        <x:v>103.0</x:v>
      </x:c>
      <x:c r="B105" s="13" t="s">
        <x:v>225</x:v>
      </x:c>
      <x:c r="C105" s="13" t="s">
        <x:v>139</x:v>
      </x:c>
      <x:c r="D105" s="13" t="s">
        <x:v>144</x:v>
      </x:c>
      <x:c r="E105" s="13" t="s">
        <x:v>145</x:v>
      </x:c>
    </x:row>
    <x:row r="106" ht="14.25" customHeight="1">
      <x:c r="A106" s="10">
        <x:v>104.0</x:v>
      </x:c>
      <x:c r="B106" s="13" t="s">
        <x:v>160</x:v>
      </x:c>
      <x:c r="C106" s="13" t="s">
        <x:v>139</x:v>
      </x:c>
      <x:c r="D106" s="13" t="s">
        <x:v>140</x:v>
      </x:c>
      <x:c r="E106" s="13" t="s">
        <x:v>155</x:v>
      </x:c>
    </x:row>
    <x:row r="107" ht="14.25" customHeight="1">
      <x:c r="A107" s="10">
        <x:v>105.0</x:v>
      </x:c>
      <x:c r="B107" s="13" t="s">
        <x:v>167</x:v>
      </x:c>
      <x:c r="C107" s="13" t="s">
        <x:v>139</x:v>
      </x:c>
      <x:c r="D107" s="13" t="s">
        <x:v>147</x:v>
      </x:c>
      <x:c r="E107" s="13" t="s">
        <x:v>148</x:v>
      </x:c>
    </x:row>
    <x:row r="108" ht="14.25" customHeight="1">
      <x:c r="A108" s="10">
        <x:v>106.0</x:v>
      </x:c>
      <x:c r="B108" s="13" t="s">
        <x:v>224</x:v>
      </x:c>
      <x:c r="C108" s="13" t="s">
        <x:v>139</x:v>
      </x:c>
      <x:c r="D108" s="13" t="s">
        <x:v>147</x:v>
      </x:c>
      <x:c r="E108" s="13" t="s">
        <x:v>148</x:v>
      </x:c>
    </x:row>
    <x:row r="109" ht="14.25" customHeight="1">
      <x:c r="A109" s="10">
        <x:v>107.0</x:v>
      </x:c>
      <x:c r="B109" s="13" t="s">
        <x:v>226</x:v>
      </x:c>
      <x:c r="C109" s="13" t="s">
        <x:v>139</x:v>
      </x:c>
      <x:c r="D109" s="13" t="s">
        <x:v>140</x:v>
      </x:c>
      <x:c r="E109" s="13" t="s">
        <x:v>155</x:v>
      </x:c>
    </x:row>
    <x:row r="110" ht="14.25" customHeight="1">
      <x:c r="A110" s="10">
        <x:v>108.0</x:v>
      </x:c>
      <x:c r="B110" s="13" t="s">
        <x:v>195</x:v>
      </x:c>
      <x:c r="C110" s="13" t="s">
        <x:v>139</x:v>
      </x:c>
      <x:c r="D110" s="13" t="s">
        <x:v>147</x:v>
      </x:c>
      <x:c r="E110" s="13" t="s">
        <x:v>148</x:v>
      </x:c>
    </x:row>
    <x:row r="111" ht="14.25" customHeight="1">
      <x:c r="A111" s="10">
        <x:v>109.0</x:v>
      </x:c>
      <x:c r="B111" s="13" t="s">
        <x:v>178</x:v>
      </x:c>
      <x:c r="C111" s="13" t="s">
        <x:v>139</x:v>
      </x:c>
      <x:c r="D111" s="13" t="s">
        <x:v>147</x:v>
      </x:c>
      <x:c r="E111" s="13" t="s">
        <x:v>148</x:v>
      </x:c>
    </x:row>
    <x:row r="112" ht="14.25" customHeight="1">
      <x:c r="A112" s="10">
        <x:v>110.0</x:v>
      </x:c>
      <x:c r="B112" s="13" t="s">
        <x:v>220</x:v>
      </x:c>
      <x:c r="C112" s="13" t="s">
        <x:v>143</x:v>
      </x:c>
      <x:c r="D112" s="13" t="s">
        <x:v>140</x:v>
      </x:c>
      <x:c r="E112" s="13" t="s">
        <x:v>155</x:v>
      </x:c>
    </x:row>
    <x:row r="113" ht="14.25" customHeight="1">
      <x:c r="A113" s="10">
        <x:v>111.0</x:v>
      </x:c>
      <x:c r="B113" s="13" t="s">
        <x:v>166</x:v>
      </x:c>
      <x:c r="C113" s="13" t="s">
        <x:v>139</x:v>
      </x:c>
      <x:c r="D113" s="13" t="s">
        <x:v>140</x:v>
      </x:c>
      <x:c r="E113" s="13" t="s">
        <x:v>155</x:v>
      </x:c>
    </x:row>
    <x:row r="114" ht="14.25" customHeight="1">
      <x:c r="A114" s="10">
        <x:v>112.0</x:v>
      </x:c>
      <x:c r="B114" s="13" t="s">
        <x:v>227</x:v>
      </x:c>
      <x:c r="C114" s="13" t="s">
        <x:v>139</x:v>
      </x:c>
      <x:c r="D114" s="13" t="s">
        <x:v>157</x:v>
      </x:c>
      <x:c r="E114" s="13" t="s">
        <x:v>162</x:v>
      </x:c>
    </x:row>
    <x:row r="115" ht="14.25" customHeight="1">
      <x:c r="A115" s="10">
        <x:v>113.0</x:v>
      </x:c>
      <x:c r="B115" s="13" t="s">
        <x:v>228</x:v>
      </x:c>
      <x:c r="C115" s="13" t="s">
        <x:v>139</x:v>
      </x:c>
      <x:c r="D115" s="13" t="s">
        <x:v>157</x:v>
      </x:c>
      <x:c r="E115" s="13" t="s">
        <x:v>158</x:v>
      </x:c>
    </x:row>
    <x:row r="116" ht="14.25" customHeight="1">
      <x:c r="A116" s="10">
        <x:v>114.0</x:v>
      </x:c>
      <x:c r="B116" s="13" t="s">
        <x:v>210</x:v>
      </x:c>
      <x:c r="C116" s="13" t="s">
        <x:v>139</x:v>
      </x:c>
      <x:c r="D116" s="13" t="s">
        <x:v>157</x:v>
      </x:c>
      <x:c r="E116" s="13" t="s">
        <x:v>158</x:v>
      </x:c>
    </x:row>
    <x:row r="117" ht="14.25" customHeight="1">
      <x:c r="A117" s="10">
        <x:v>115.0</x:v>
      </x:c>
      <x:c r="B117" s="13" t="s">
        <x:v>202</x:v>
      </x:c>
      <x:c r="C117" s="13" t="s">
        <x:v>139</x:v>
      </x:c>
      <x:c r="D117" s="13" t="s">
        <x:v>140</x:v>
      </x:c>
      <x:c r="E117" s="13" t="s">
        <x:v>155</x:v>
      </x:c>
    </x:row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0" customWidth="1"/>
    <x:col min="2" max="2" width="15" customWidth="1"/>
    <x:col min="3" max="3" width="11" customWidth="1"/>
    <x:col min="4" max="5" width="12" customWidth="1"/>
    <x:col min="6" max="6" width="18" customWidth="1"/>
    <x:col min="7" max="7" width="19" customWidth="1"/>
    <x:col min="8" max="26" width="8.710000038146973" customWidth="1"/>
  </x:cols>
  <x:sheetData>
    <x:row r="1" ht="14.25" customHeight="1">
      <x:c r="A1" s="2" t="s">
        <x:v>229</x:v>
      </x:c>
    </x:row>
    <x:row r="2" ht="14.25" customHeight="1">
      <x:c r="A2" s="6" t="s">
        <x:v>230</x:v>
      </x:c>
      <x:c r="B2" s="6" t="s">
        <x:v>67</x:v>
      </x:c>
      <x:c r="C2" s="6" t="s">
        <x:v>82</x:v>
      </x:c>
      <x:c r="D2" s="6" t="s">
        <x:v>133</x:v>
      </x:c>
      <x:c r="E2" s="6" t="s">
        <x:v>231</x:v>
      </x:c>
      <x:c r="F2" s="6" t="s">
        <x:v>232</x:v>
      </x:c>
      <x:c r="G2" s="6" t="s">
        <x:v>233</x:v>
      </x:c>
    </x:row>
    <x:row r="3" ht="14.25" customHeight="1">
      <x:c r="A3" s="10">
        <x:v>1.0</x:v>
      </x:c>
      <x:c r="B3" s="10">
        <x:v>8.0</x:v>
      </x:c>
      <x:c r="C3" s="10">
        <x:v>11.0</x:v>
      </x:c>
      <x:c r="D3" s="10">
        <x:v>2.0</x:v>
      </x:c>
      <x:c r="E3" s="13" t="s">
        <x:v>142</x:v>
      </x:c>
      <x:c r="F3" s="28">
        <x:v>51.62</x:v>
      </x:c>
      <x:c r="G3" s="28">
        <x:v>16.87</x:v>
      </x:c>
    </x:row>
    <x:row r="4" ht="14.25" customHeight="1">
      <x:c r="A4" s="10">
        <x:v>2.0</x:v>
      </x:c>
      <x:c r="B4" s="10">
        <x:v>9.0</x:v>
      </x:c>
      <x:c r="C4" s="10">
        <x:v>8.0</x:v>
      </x:c>
      <x:c r="D4" s="10">
        <x:v>4.0</x:v>
      </x:c>
      <x:c r="E4" s="13" t="s">
        <x:v>149</x:v>
      </x:c>
      <x:c r="F4" s="28">
        <x:v>35.28</x:v>
      </x:c>
      <x:c r="G4" s="28">
        <x:v>10.11</x:v>
      </x:c>
    </x:row>
    <x:row r="5" ht="14.25" customHeight="1">
      <x:c r="A5" s="10">
        <x:v>3.0</x:v>
      </x:c>
      <x:c r="B5" s="10">
        <x:v>1.0</x:v>
      </x:c>
      <x:c r="C5" s="10">
        <x:v>12.0</x:v>
      </x:c>
      <x:c r="D5" s="10">
        <x:v>5.0</x:v>
      </x:c>
      <x:c r="E5" s="13" t="s">
        <x:v>151</x:v>
      </x:c>
      <x:c r="F5" s="28">
        <x:v>19.96</x:v>
      </x:c>
      <x:c r="G5" s="28">
        <x:v>5.37</x:v>
      </x:c>
    </x:row>
    <x:row r="6" ht="14.25" customHeight="1">
      <x:c r="A6" s="10">
        <x:v>4.0</x:v>
      </x:c>
      <x:c r="B6" s="10">
        <x:v>6.0</x:v>
      </x:c>
      <x:c r="C6" s="10">
        <x:v>2.0</x:v>
      </x:c>
      <x:c r="D6" s="10">
        <x:v>6.0</x:v>
      </x:c>
      <x:c r="E6" s="13" t="s">
        <x:v>152</x:v>
      </x:c>
      <x:c r="F6" s="28">
        <x:v>49.32</x:v>
      </x:c>
      <x:c r="G6" s="28">
        <x:v>10.11</x:v>
      </x:c>
    </x:row>
    <x:row r="7" ht="14.25" customHeight="1">
      <x:c r="A7" s="10">
        <x:v>5.0</x:v>
      </x:c>
      <x:c r="B7" s="10">
        <x:v>8.0</x:v>
      </x:c>
      <x:c r="C7" s="10">
        <x:v>4.0</x:v>
      </x:c>
      <x:c r="D7" s="10">
        <x:v>8.0</x:v>
      </x:c>
      <x:c r="E7" s="13" t="s">
        <x:v>154</x:v>
      </x:c>
      <x:c r="F7" s="28">
        <x:v>16.82</x:v>
      </x:c>
      <x:c r="G7" s="28">
        <x:v>6.33</x:v>
      </x:c>
    </x:row>
    <x:row r="8" ht="14.25" customHeight="1">
      <x:c r="A8" s="10">
        <x:v>6.0</x:v>
      </x:c>
      <x:c r="B8" s="10">
        <x:v>9.0</x:v>
      </x:c>
      <x:c r="C8" s="10">
        <x:v>8.0</x:v>
      </x:c>
      <x:c r="D8" s="10">
        <x:v>10.0</x:v>
      </x:c>
      <x:c r="E8" s="13" t="s">
        <x:v>159</x:v>
      </x:c>
      <x:c r="F8" s="28">
        <x:v>34.91</x:v>
      </x:c>
      <x:c r="G8" s="28">
        <x:v>11.63</x:v>
      </x:c>
    </x:row>
    <x:row r="9" ht="14.25" customHeight="1">
      <x:c r="A9" s="10">
        <x:v>7.0</x:v>
      </x:c>
      <x:c r="B9" s="10">
        <x:v>2.0</x:v>
      </x:c>
      <x:c r="C9" s="10">
        <x:v>7.0</x:v>
      </x:c>
      <x:c r="D9" s="10">
        <x:v>11.0</x:v>
      </x:c>
      <x:c r="E9" s="13" t="s">
        <x:v>160</x:v>
      </x:c>
      <x:c r="F9" s="28">
        <x:v>28.87</x:v>
      </x:c>
      <x:c r="G9" s="28">
        <x:v>9.74</x:v>
      </x:c>
    </x:row>
    <x:row r="10" ht="14.25" customHeight="1">
      <x:c r="A10" s="10">
        <x:v>8.0</x:v>
      </x:c>
      <x:c r="B10" s="10">
        <x:v>6.0</x:v>
      </x:c>
      <x:c r="C10" s="10">
        <x:v>2.0</x:v>
      </x:c>
      <x:c r="D10" s="10">
        <x:v>12.0</x:v>
      </x:c>
      <x:c r="E10" s="13" t="s">
        <x:v>161</x:v>
      </x:c>
      <x:c r="F10" s="28">
        <x:v>12.71</x:v>
      </x:c>
      <x:c r="G10" s="28">
        <x:v>3.8</x:v>
      </x:c>
    </x:row>
    <x:row r="11" ht="14.25" customHeight="1">
      <x:c r="A11" s="10">
        <x:v>9.0</x:v>
      </x:c>
      <x:c r="B11" s="10">
        <x:v>7.0</x:v>
      </x:c>
      <x:c r="C11" s="10">
        <x:v>8.0</x:v>
      </x:c>
      <x:c r="D11" s="10">
        <x:v>13.0</x:v>
      </x:c>
      <x:c r="E11" s="13" t="s">
        <x:v>159</x:v>
      </x:c>
      <x:c r="F11" s="28">
        <x:v>35.0</x:v>
      </x:c>
      <x:c r="G11" s="28">
        <x:v>9.67</x:v>
      </x:c>
    </x:row>
    <x:row r="12" ht="14.25" customHeight="1">
      <x:c r="A12" s="10">
        <x:v>10.0</x:v>
      </x:c>
      <x:c r="B12" s="10">
        <x:v>2.0</x:v>
      </x:c>
      <x:c r="C12" s="10">
        <x:v>12.0</x:v>
      </x:c>
      <x:c r="D12" s="10">
        <x:v>14.0</x:v>
      </x:c>
      <x:c r="E12" s="13" t="s">
        <x:v>163</x:v>
      </x:c>
      <x:c r="F12" s="28">
        <x:v>25.85</x:v>
      </x:c>
      <x:c r="G12" s="28">
        <x:v>10.79</x:v>
      </x:c>
    </x:row>
    <x:row r="13" ht="14.25" customHeight="1">
      <x:c r="A13" s="10">
        <x:v>11.0</x:v>
      </x:c>
      <x:c r="B13" s="10">
        <x:v>4.0</x:v>
      </x:c>
      <x:c r="C13" s="10">
        <x:v>7.0</x:v>
      </x:c>
      <x:c r="D13" s="10">
        <x:v>15.0</x:v>
      </x:c>
      <x:c r="E13" s="13" t="s">
        <x:v>164</x:v>
      </x:c>
      <x:c r="F13" s="28">
        <x:v>24.65</x:v>
      </x:c>
      <x:c r="G13" s="28">
        <x:v>9.52</x:v>
      </x:c>
    </x:row>
    <x:row r="14" ht="14.25" customHeight="1">
      <x:c r="A14" s="10">
        <x:v>12.0</x:v>
      </x:c>
      <x:c r="B14" s="10">
        <x:v>1.0</x:v>
      </x:c>
      <x:c r="C14" s="10">
        <x:v>2.0</x:v>
      </x:c>
      <x:c r="D14" s="10">
        <x:v>16.0</x:v>
      </x:c>
      <x:c r="E14" s="13" t="s">
        <x:v>151</x:v>
      </x:c>
      <x:c r="F14" s="28">
        <x:v>24.53</x:v>
      </x:c>
      <x:c r="G14" s="28">
        <x:v>8.32</x:v>
      </x:c>
    </x:row>
    <x:row r="15" ht="14.25" customHeight="1">
      <x:c r="A15" s="10">
        <x:v>13.0</x:v>
      </x:c>
      <x:c r="B15" s="10">
        <x:v>9.0</x:v>
      </x:c>
      <x:c r="C15" s="10">
        <x:v>2.0</x:v>
      </x:c>
      <x:c r="D15" s="10">
        <x:v>17.0</x:v>
      </x:c>
      <x:c r="E15" s="13" t="s">
        <x:v>165</x:v>
      </x:c>
      <x:c r="F15" s="28">
        <x:v>15.69</x:v>
      </x:c>
      <x:c r="G15" s="28">
        <x:v>5.31</x:v>
      </x:c>
    </x:row>
    <x:row r="16" ht="14.25" customHeight="1">
      <x:c r="A16" s="10">
        <x:v>14.0</x:v>
      </x:c>
      <x:c r="B16" s="10">
        <x:v>6.0</x:v>
      </x:c>
      <x:c r="C16" s="10">
        <x:v>1.0</x:v>
      </x:c>
      <x:c r="D16" s="10">
        <x:v>18.0</x:v>
      </x:c>
      <x:c r="E16" s="13" t="s">
        <x:v>166</x:v>
      </x:c>
      <x:c r="F16" s="28">
        <x:v>37.1</x:v>
      </x:c>
      <x:c r="G16" s="28">
        <x:v>12.83</x:v>
      </x:c>
    </x:row>
    <x:row r="17" ht="14.25" customHeight="1">
      <x:c r="A17" s="10">
        <x:v>15.0</x:v>
      </x:c>
      <x:c r="B17" s="10">
        <x:v>8.0</x:v>
      </x:c>
      <x:c r="C17" s="10">
        <x:v>12.0</x:v>
      </x:c>
      <x:c r="D17" s="10">
        <x:v>21.0</x:v>
      </x:c>
      <x:c r="E17" s="13" t="s">
        <x:v>152</x:v>
      </x:c>
      <x:c r="F17" s="28">
        <x:v>10.54</x:v>
      </x:c>
      <x:c r="G17" s="28">
        <x:v>3.0</x:v>
      </x:c>
    </x:row>
    <x:row r="18" ht="14.25" customHeight="1">
      <x:c r="A18" s="10">
        <x:v>16.0</x:v>
      </x:c>
      <x:c r="B18" s="10">
        <x:v>5.0</x:v>
      </x:c>
      <x:c r="C18" s="10">
        <x:v>9.0</x:v>
      </x:c>
      <x:c r="D18" s="10">
        <x:v>24.0</x:v>
      </x:c>
      <x:c r="E18" s="13" t="s">
        <x:v>160</x:v>
      </x:c>
      <x:c r="F18" s="28">
        <x:v>24.26</x:v>
      </x:c>
      <x:c r="G18" s="28">
        <x:v>5.32</x:v>
      </x:c>
    </x:row>
    <x:row r="19" ht="14.25" customHeight="1">
      <x:c r="A19" s="10">
        <x:v>17.0</x:v>
      </x:c>
      <x:c r="B19" s="10">
        <x:v>3.0</x:v>
      </x:c>
      <x:c r="C19" s="10">
        <x:v>3.0</x:v>
      </x:c>
      <x:c r="D19" s="10">
        <x:v>26.0</x:v>
      </x:c>
      <x:c r="E19" s="13" t="s">
        <x:v>172</x:v>
      </x:c>
      <x:c r="F19" s="28">
        <x:v>35.54</x:v>
      </x:c>
      <x:c r="G19" s="28">
        <x:v>8.91</x:v>
      </x:c>
    </x:row>
    <x:row r="20" ht="14.25" customHeight="1">
      <x:c r="A20" s="10">
        <x:v>18.0</x:v>
      </x:c>
      <x:c r="B20" s="10">
        <x:v>6.0</x:v>
      </x:c>
      <x:c r="C20" s="10">
        <x:v>10.0</x:v>
      </x:c>
      <x:c r="D20" s="10">
        <x:v>28.0</x:v>
      </x:c>
      <x:c r="E20" s="13" t="s">
        <x:v>174</x:v>
      </x:c>
      <x:c r="F20" s="28">
        <x:v>27.23</x:v>
      </x:c>
      <x:c r="G20" s="28">
        <x:v>9.24</x:v>
      </x:c>
    </x:row>
    <x:row r="21" ht="14.25" customHeight="1">
      <x:c r="A21" s="10">
        <x:v>19.0</x:v>
      </x:c>
      <x:c r="B21" s="10">
        <x:v>2.0</x:v>
      </x:c>
      <x:c r="C21" s="10">
        <x:v>5.0</x:v>
      </x:c>
      <x:c r="D21" s="10">
        <x:v>29.0</x:v>
      </x:c>
      <x:c r="E21" s="13" t="s">
        <x:v>175</x:v>
      </x:c>
      <x:c r="F21" s="28">
        <x:v>25.61</x:v>
      </x:c>
      <x:c r="G21" s="28">
        <x:v>7.23</x:v>
      </x:c>
    </x:row>
    <x:row r="22" ht="14.25" customHeight="1">
      <x:c r="A22" s="10">
        <x:v>20.0</x:v>
      </x:c>
      <x:c r="B22" s="10">
        <x:v>1.0</x:v>
      </x:c>
      <x:c r="C22" s="10">
        <x:v>9.0</x:v>
      </x:c>
      <x:c r="D22" s="10">
        <x:v>30.0</x:v>
      </x:c>
      <x:c r="E22" s="13" t="s">
        <x:v>176</x:v>
      </x:c>
      <x:c r="F22" s="28">
        <x:v>37.53</x:v>
      </x:c>
      <x:c r="G22" s="28">
        <x:v>11.79</x:v>
      </x:c>
    </x:row>
    <x:row r="23" ht="14.25" customHeight="1">
      <x:c r="A23" s="10">
        <x:v>21.0</x:v>
      </x:c>
      <x:c r="B23" s="10">
        <x:v>7.0</x:v>
      </x:c>
      <x:c r="C23" s="10">
        <x:v>2.0</x:v>
      </x:c>
      <x:c r="D23" s="10">
        <x:v>31.0</x:v>
      </x:c>
      <x:c r="E23" s="13" t="s">
        <x:v>177</x:v>
      </x:c>
      <x:c r="F23" s="28">
        <x:v>47.81</x:v>
      </x:c>
      <x:c r="G23" s="28">
        <x:v>16.85</x:v>
      </x:c>
    </x:row>
    <x:row r="24" ht="14.25" customHeight="1">
      <x:c r="A24" s="10">
        <x:v>22.0</x:v>
      </x:c>
      <x:c r="B24" s="10">
        <x:v>4.0</x:v>
      </x:c>
      <x:c r="C24" s="10">
        <x:v>4.0</x:v>
      </x:c>
      <x:c r="D24" s="10">
        <x:v>32.0</x:v>
      </x:c>
      <x:c r="E24" s="13" t="s">
        <x:v>178</x:v>
      </x:c>
      <x:c r="F24" s="28">
        <x:v>9.0</x:v>
      </x:c>
      <x:c r="G24" s="28">
        <x:v>3.43</x:v>
      </x:c>
    </x:row>
    <x:row r="25" ht="14.25" customHeight="1">
      <x:c r="A25" s="10">
        <x:v>23.0</x:v>
      </x:c>
      <x:c r="B25" s="10">
        <x:v>9.0</x:v>
      </x:c>
      <x:c r="C25" s="10">
        <x:v>4.0</x:v>
      </x:c>
      <x:c r="D25" s="10">
        <x:v>37.0</x:v>
      </x:c>
      <x:c r="E25" s="13" t="s">
        <x:v>183</x:v>
      </x:c>
      <x:c r="F25" s="28">
        <x:v>42.5</x:v>
      </x:c>
      <x:c r="G25" s="28">
        <x:v>15.91</x:v>
      </x:c>
    </x:row>
    <x:row r="26" ht="14.25" customHeight="1">
      <x:c r="A26" s="10">
        <x:v>24.0</x:v>
      </x:c>
      <x:c r="B26" s="10">
        <x:v>4.0</x:v>
      </x:c>
      <x:c r="C26" s="10">
        <x:v>2.0</x:v>
      </x:c>
      <x:c r="D26" s="10">
        <x:v>40.0</x:v>
      </x:c>
      <x:c r="E26" s="13" t="s">
        <x:v>185</x:v>
      </x:c>
      <x:c r="F26" s="28">
        <x:v>30.82</x:v>
      </x:c>
      <x:c r="G26" s="28">
        <x:v>9.17</x:v>
      </x:c>
    </x:row>
    <x:row r="27" ht="14.25" customHeight="1">
      <x:c r="A27" s="10">
        <x:v>25.0</x:v>
      </x:c>
      <x:c r="B27" s="10">
        <x:v>9.0</x:v>
      </x:c>
      <x:c r="C27" s="10">
        <x:v>6.0</x:v>
      </x:c>
      <x:c r="D27" s="10">
        <x:v>42.0</x:v>
      </x:c>
      <x:c r="E27" s="13" t="s">
        <x:v>187</x:v>
      </x:c>
      <x:c r="F27" s="28">
        <x:v>23.8</x:v>
      </x:c>
      <x:c r="G27" s="28">
        <x:v>8.1</x:v>
      </x:c>
    </x:row>
    <x:row r="28" ht="14.25" customHeight="1">
      <x:c r="A28" s="10">
        <x:v>26.0</x:v>
      </x:c>
      <x:c r="B28" s="10">
        <x:v>5.0</x:v>
      </x:c>
      <x:c r="C28" s="10">
        <x:v>9.0</x:v>
      </x:c>
      <x:c r="D28" s="10">
        <x:v>44.0</x:v>
      </x:c>
      <x:c r="E28" s="13" t="s">
        <x:v>166</x:v>
      </x:c>
      <x:c r="F28" s="28">
        <x:v>37.02</x:v>
      </x:c>
      <x:c r="G28" s="28">
        <x:v>10.94</x:v>
      </x:c>
    </x:row>
    <x:row r="29" ht="14.25" customHeight="1">
      <x:c r="A29" s="10">
        <x:v>27.0</x:v>
      </x:c>
      <x:c r="B29" s="10">
        <x:v>1.0</x:v>
      </x:c>
      <x:c r="C29" s="10">
        <x:v>11.0</x:v>
      </x:c>
      <x:c r="D29" s="10">
        <x:v>45.0</x:v>
      </x:c>
      <x:c r="E29" s="13" t="s">
        <x:v>188</x:v>
      </x:c>
      <x:c r="F29" s="28">
        <x:v>35.46</x:v>
      </x:c>
      <x:c r="G29" s="28">
        <x:v>13.71</x:v>
      </x:c>
    </x:row>
    <x:row r="30" ht="14.25" customHeight="1">
      <x:c r="A30" s="10">
        <x:v>28.0</x:v>
      </x:c>
      <x:c r="B30" s="10">
        <x:v>8.0</x:v>
      </x:c>
      <x:c r="C30" s="10">
        <x:v>8.0</x:v>
      </x:c>
      <x:c r="D30" s="10">
        <x:v>46.0</x:v>
      </x:c>
      <x:c r="E30" s="13" t="s">
        <x:v>189</x:v>
      </x:c>
      <x:c r="F30" s="28">
        <x:v>34.55</x:v>
      </x:c>
      <x:c r="G30" s="28">
        <x:v>11.52</x:v>
      </x:c>
    </x:row>
    <x:row r="31" ht="14.25" customHeight="1">
      <x:c r="A31" s="10">
        <x:v>29.0</x:v>
      </x:c>
      <x:c r="B31" s="10">
        <x:v>6.0</x:v>
      </x:c>
      <x:c r="C31" s="10">
        <x:v>4.0</x:v>
      </x:c>
      <x:c r="D31" s="10">
        <x:v>47.0</x:v>
      </x:c>
      <x:c r="E31" s="13" t="s">
        <x:v>180</x:v>
      </x:c>
      <x:c r="F31" s="28">
        <x:v>38.16</x:v>
      </x:c>
      <x:c r="G31" s="28">
        <x:v>11.84</x:v>
      </x:c>
    </x:row>
    <x:row r="32" ht="14.25" customHeight="1">
      <x:c r="A32" s="10">
        <x:v>30.0</x:v>
      </x:c>
      <x:c r="B32" s="10">
        <x:v>9.0</x:v>
      </x:c>
      <x:c r="C32" s="10">
        <x:v>10.0</x:v>
      </x:c>
      <x:c r="D32" s="10">
        <x:v>48.0</x:v>
      </x:c>
      <x:c r="E32" s="13" t="s">
        <x:v>189</x:v>
      </x:c>
      <x:c r="F32" s="28">
        <x:v>21.65</x:v>
      </x:c>
      <x:c r="G32" s="28">
        <x:v>8.4</x:v>
      </x:c>
    </x:row>
    <x:row r="33" ht="14.25" customHeight="1">
      <x:c r="A33" s="10">
        <x:v>31.0</x:v>
      </x:c>
      <x:c r="B33" s="10">
        <x:v>8.0</x:v>
      </x:c>
      <x:c r="C33" s="10">
        <x:v>7.0</x:v>
      </x:c>
      <x:c r="D33" s="10">
        <x:v>50.0</x:v>
      </x:c>
      <x:c r="E33" s="13" t="s">
        <x:v>191</x:v>
      </x:c>
      <x:c r="F33" s="28">
        <x:v>11.16</x:v>
      </x:c>
      <x:c r="G33" s="28">
        <x:v>4.07</x:v>
      </x:c>
    </x:row>
    <x:row r="34" ht="14.25" customHeight="1">
      <x:c r="A34" s="10">
        <x:v>32.0</x:v>
      </x:c>
      <x:c r="B34" s="10">
        <x:v>1.0</x:v>
      </x:c>
      <x:c r="C34" s="10">
        <x:v>7.0</x:v>
      </x:c>
      <x:c r="D34" s="10">
        <x:v>53.0</x:v>
      </x:c>
      <x:c r="E34" s="13" t="s">
        <x:v>193</x:v>
      </x:c>
      <x:c r="F34" s="28">
        <x:v>23.14</x:v>
      </x:c>
      <x:c r="G34" s="28">
        <x:v>6.23</x:v>
      </x:c>
    </x:row>
    <x:row r="35" ht="14.25" customHeight="1">
      <x:c r="A35" s="10">
        <x:v>33.0</x:v>
      </x:c>
      <x:c r="B35" s="10">
        <x:v>5.0</x:v>
      </x:c>
      <x:c r="C35" s="10">
        <x:v>8.0</x:v>
      </x:c>
      <x:c r="D35" s="10">
        <x:v>55.0</x:v>
      </x:c>
      <x:c r="E35" s="13" t="s">
        <x:v>195</x:v>
      </x:c>
      <x:c r="F35" s="28">
        <x:v>21.07</x:v>
      </x:c>
      <x:c r="G35" s="28">
        <x:v>5.79</x:v>
      </x:c>
    </x:row>
    <x:row r="36" ht="14.25" customHeight="1">
      <x:c r="A36" s="10">
        <x:v>34.0</x:v>
      </x:c>
      <x:c r="B36" s="10">
        <x:v>10.0</x:v>
      </x:c>
      <x:c r="C36" s="10">
        <x:v>6.0</x:v>
      </x:c>
      <x:c r="D36" s="10">
        <x:v>56.0</x:v>
      </x:c>
      <x:c r="E36" s="13" t="s">
        <x:v>196</x:v>
      </x:c>
      <x:c r="F36" s="28">
        <x:v>35.6</x:v>
      </x:c>
      <x:c r="G36" s="28">
        <x:v>14.1</x:v>
      </x:c>
    </x:row>
    <x:row r="37" ht="14.25" customHeight="1">
      <x:c r="A37" s="10">
        <x:v>35.0</x:v>
      </x:c>
      <x:c r="B37" s="10">
        <x:v>1.0</x:v>
      </x:c>
      <x:c r="C37" s="10">
        <x:v>4.0</x:v>
      </x:c>
      <x:c r="D37" s="10">
        <x:v>57.0</x:v>
      </x:c>
      <x:c r="E37" s="13" t="s">
        <x:v>197</x:v>
      </x:c>
      <x:c r="F37" s="28">
        <x:v>33.72</x:v>
      </x:c>
      <x:c r="G37" s="28">
        <x:v>12.24</x:v>
      </x:c>
    </x:row>
    <x:row r="38" ht="14.25" customHeight="1">
      <x:c r="A38" s="10">
        <x:v>36.0</x:v>
      </x:c>
      <x:c r="B38" s="10">
        <x:v>3.0</x:v>
      </x:c>
      <x:c r="C38" s="10">
        <x:v>10.0</x:v>
      </x:c>
      <x:c r="D38" s="10">
        <x:v>58.0</x:v>
      </x:c>
      <x:c r="E38" s="13" t="s">
        <x:v>189</x:v>
      </x:c>
      <x:c r="F38" s="28">
        <x:v>31.04</x:v>
      </x:c>
      <x:c r="G38" s="28">
        <x:v>11.63</x:v>
      </x:c>
    </x:row>
    <x:row r="39" ht="14.25" customHeight="1">
      <x:c r="A39" s="10">
        <x:v>37.0</x:v>
      </x:c>
      <x:c r="B39" s="10">
        <x:v>1.0</x:v>
      </x:c>
      <x:c r="C39" s="10">
        <x:v>8.0</x:v>
      </x:c>
      <x:c r="D39" s="10">
        <x:v>59.0</x:v>
      </x:c>
      <x:c r="E39" s="13" t="s">
        <x:v>198</x:v>
      </x:c>
      <x:c r="F39" s="28">
        <x:v>30.54</x:v>
      </x:c>
      <x:c r="G39" s="28">
        <x:v>10.16</x:v>
      </x:c>
    </x:row>
    <x:row r="40" ht="14.25" customHeight="1">
      <x:c r="A40" s="10">
        <x:v>38.0</x:v>
      </x:c>
      <x:c r="B40" s="10">
        <x:v>6.0</x:v>
      </x:c>
      <x:c r="C40" s="10">
        <x:v>7.0</x:v>
      </x:c>
      <x:c r="D40" s="10">
        <x:v>60.0</x:v>
      </x:c>
      <x:c r="E40" s="13" t="s">
        <x:v>199</x:v>
      </x:c>
      <x:c r="F40" s="28">
        <x:v>26.59</x:v>
      </x:c>
      <x:c r="G40" s="28">
        <x:v>9.01</x:v>
      </x:c>
    </x:row>
    <x:row r="41" ht="14.25" customHeight="1">
      <x:c r="A41" s="10">
        <x:v>39.0</x:v>
      </x:c>
      <x:c r="B41" s="10">
        <x:v>2.0</x:v>
      </x:c>
      <x:c r="C41" s="10">
        <x:v>1.0</x:v>
      </x:c>
      <x:c r="D41" s="10">
        <x:v>61.0</x:v>
      </x:c>
      <x:c r="E41" s="13" t="s">
        <x:v>151</x:v>
      </x:c>
      <x:c r="F41" s="28">
        <x:v>45.06</x:v>
      </x:c>
      <x:c r="G41" s="28">
        <x:v>12.78</x:v>
      </x:c>
    </x:row>
    <x:row r="42" ht="14.25" customHeight="1">
      <x:c r="A42" s="10">
        <x:v>40.0</x:v>
      </x:c>
      <x:c r="B42" s="10">
        <x:v>6.0</x:v>
      </x:c>
      <x:c r="C42" s="10">
        <x:v>1.0</x:v>
      </x:c>
      <x:c r="D42" s="10">
        <x:v>65.0</x:v>
      </x:c>
      <x:c r="E42" s="13" t="s">
        <x:v>202</x:v>
      </x:c>
      <x:c r="F42" s="28">
        <x:v>32.67</x:v>
      </x:c>
      <x:c r="G42" s="28">
        <x:v>12.94</x:v>
      </x:c>
    </x:row>
    <x:row r="43" ht="14.25" customHeight="1">
      <x:c r="A43" s="10">
        <x:v>41.0</x:v>
      </x:c>
      <x:c r="B43" s="10">
        <x:v>5.0</x:v>
      </x:c>
      <x:c r="C43" s="10">
        <x:v>9.0</x:v>
      </x:c>
      <x:c r="D43" s="10">
        <x:v>67.0</x:v>
      </x:c>
      <x:c r="E43" s="13" t="s">
        <x:v>204</x:v>
      </x:c>
      <x:c r="F43" s="28">
        <x:v>40.24</x:v>
      </x:c>
      <x:c r="G43" s="28">
        <x:v>9.64</x:v>
      </x:c>
    </x:row>
    <x:row r="44" ht="14.25" customHeight="1">
      <x:c r="A44" s="10">
        <x:v>42.0</x:v>
      </x:c>
      <x:c r="B44" s="10">
        <x:v>10.0</x:v>
      </x:c>
      <x:c r="C44" s="10">
        <x:v>3.0</x:v>
      </x:c>
      <x:c r="D44" s="10">
        <x:v>68.0</x:v>
      </x:c>
      <x:c r="E44" s="13" t="s">
        <x:v>205</x:v>
      </x:c>
      <x:c r="F44" s="28">
        <x:v>34.37</x:v>
      </x:c>
      <x:c r="G44" s="28">
        <x:v>10.84</x:v>
      </x:c>
    </x:row>
    <x:row r="45" ht="14.25" customHeight="1">
      <x:c r="A45" s="10">
        <x:v>43.0</x:v>
      </x:c>
      <x:c r="B45" s="10">
        <x:v>4.0</x:v>
      </x:c>
      <x:c r="C45" s="10">
        <x:v>10.0</x:v>
      </x:c>
      <x:c r="D45" s="10">
        <x:v>69.0</x:v>
      </x:c>
      <x:c r="E45" s="13" t="s">
        <x:v>206</x:v>
      </x:c>
      <x:c r="F45" s="28">
        <x:v>40.02</x:v>
      </x:c>
      <x:c r="G45" s="28">
        <x:v>17.43</x:v>
      </x:c>
    </x:row>
    <x:row r="46" ht="14.25" customHeight="1">
      <x:c r="A46" s="10">
        <x:v>44.0</x:v>
      </x:c>
      <x:c r="B46" s="10">
        <x:v>10.0</x:v>
      </x:c>
      <x:c r="C46" s="10">
        <x:v>10.0</x:v>
      </x:c>
      <x:c r="D46" s="10">
        <x:v>71.0</x:v>
      </x:c>
      <x:c r="E46" s="13" t="s">
        <x:v>207</x:v>
      </x:c>
      <x:c r="F46" s="28">
        <x:v>15.24</x:v>
      </x:c>
      <x:c r="G46" s="28">
        <x:v>5.03</x:v>
      </x:c>
    </x:row>
    <x:row r="47" ht="14.25" customHeight="1">
      <x:c r="A47" s="10">
        <x:v>45.0</x:v>
      </x:c>
      <x:c r="B47" s="10">
        <x:v>10.0</x:v>
      </x:c>
      <x:c r="C47" s="10">
        <x:v>1.0</x:v>
      </x:c>
      <x:c r="D47" s="10">
        <x:v>73.0</x:v>
      </x:c>
      <x:c r="E47" s="13" t="s">
        <x:v>209</x:v>
      </x:c>
      <x:c r="F47" s="28">
        <x:v>20.66</x:v>
      </x:c>
      <x:c r="G47" s="28">
        <x:v>6.18</x:v>
      </x:c>
    </x:row>
    <x:row r="48" ht="14.25" customHeight="1">
      <x:c r="A48" s="10">
        <x:v>46.0</x:v>
      </x:c>
      <x:c r="B48" s="10">
        <x:v>5.0</x:v>
      </x:c>
      <x:c r="C48" s="10">
        <x:v>5.0</x:v>
      </x:c>
      <x:c r="D48" s="10">
        <x:v>74.0</x:v>
      </x:c>
      <x:c r="E48" s="13" t="s">
        <x:v>165</x:v>
      </x:c>
      <x:c r="F48" s="28">
        <x:v>27.7</x:v>
      </x:c>
      <x:c r="G48" s="28">
        <x:v>5.54</x:v>
      </x:c>
    </x:row>
    <x:row r="49" ht="14.25" customHeight="1">
      <x:c r="A49" s="10">
        <x:v>47.0</x:v>
      </x:c>
      <x:c r="B49" s="10">
        <x:v>1.0</x:v>
      </x:c>
      <x:c r="C49" s="10">
        <x:v>3.0</x:v>
      </x:c>
      <x:c r="D49" s="10">
        <x:v>75.0</x:v>
      </x:c>
      <x:c r="E49" s="13" t="s">
        <x:v>210</x:v>
      </x:c>
      <x:c r="F49" s="28">
        <x:v>15.96</x:v>
      </x:c>
      <x:c r="G49" s="28">
        <x:v>5.69</x:v>
      </x:c>
    </x:row>
    <x:row r="50" ht="14.25" customHeight="1">
      <x:c r="A50" s="10">
        <x:v>48.0</x:v>
      </x:c>
      <x:c r="B50" s="10">
        <x:v>7.0</x:v>
      </x:c>
      <x:c r="C50" s="10">
        <x:v>12.0</x:v>
      </x:c>
      <x:c r="D50" s="10">
        <x:v>76.0</x:v>
      </x:c>
      <x:c r="E50" s="13" t="s">
        <x:v>211</x:v>
      </x:c>
      <x:c r="F50" s="28">
        <x:v>29.91</x:v>
      </x:c>
      <x:c r="G50" s="28">
        <x:v>7.39</x:v>
      </x:c>
    </x:row>
    <x:row r="51" ht="14.25" customHeight="1">
      <x:c r="A51" s="10">
        <x:v>49.0</x:v>
      </x:c>
      <x:c r="B51" s="10">
        <x:v>1.0</x:v>
      </x:c>
      <x:c r="C51" s="10">
        <x:v>5.0</x:v>
      </x:c>
      <x:c r="D51" s="10">
        <x:v>77.0</x:v>
      </x:c>
      <x:c r="E51" s="13" t="s">
        <x:v>212</x:v>
      </x:c>
      <x:c r="F51" s="28">
        <x:v>33.29</x:v>
      </x:c>
      <x:c r="G51" s="28">
        <x:v>14.87</x:v>
      </x:c>
    </x:row>
    <x:row r="52" ht="14.25" customHeight="1">
      <x:c r="A52" s="10">
        <x:v>50.0</x:v>
      </x:c>
      <x:c r="B52" s="10">
        <x:v>5.0</x:v>
      </x:c>
      <x:c r="C52" s="10">
        <x:v>10.0</x:v>
      </x:c>
      <x:c r="D52" s="10">
        <x:v>78.0</x:v>
      </x:c>
      <x:c r="E52" s="13" t="s">
        <x:v>207</x:v>
      </x:c>
      <x:c r="F52" s="28">
        <x:v>42.72</x:v>
      </x:c>
      <x:c r="G52" s="28">
        <x:v>16.66</x:v>
      </x:c>
    </x:row>
    <x:row r="53" ht="14.25" customHeight="1">
      <x:c r="A53" s="10">
        <x:v>51.0</x:v>
      </x:c>
      <x:c r="B53" s="10">
        <x:v>6.0</x:v>
      </x:c>
      <x:c r="C53" s="10">
        <x:v>9.0</x:v>
      </x:c>
      <x:c r="D53" s="10">
        <x:v>79.0</x:v>
      </x:c>
      <x:c r="E53" s="13" t="s">
        <x:v>167</x:v>
      </x:c>
      <x:c r="F53" s="28">
        <x:v>23.69</x:v>
      </x:c>
      <x:c r="G53" s="28">
        <x:v>9.13</x:v>
      </x:c>
    </x:row>
    <x:row r="54" ht="14.25" customHeight="1">
      <x:c r="A54" s="10">
        <x:v>52.0</x:v>
      </x:c>
      <x:c r="B54" s="10">
        <x:v>7.0</x:v>
      </x:c>
      <x:c r="C54" s="10">
        <x:v>5.0</x:v>
      </x:c>
      <x:c r="D54" s="10">
        <x:v>80.0</x:v>
      </x:c>
      <x:c r="E54" s="13" t="s">
        <x:v>197</x:v>
      </x:c>
      <x:c r="F54" s="28">
        <x:v>33.13</x:v>
      </x:c>
      <x:c r="G54" s="28">
        <x:v>11.26</x:v>
      </x:c>
    </x:row>
    <x:row r="55" ht="14.25" customHeight="1">
      <x:c r="A55" s="10">
        <x:v>53.0</x:v>
      </x:c>
      <x:c r="B55" s="10">
        <x:v>4.0</x:v>
      </x:c>
      <x:c r="C55" s="10">
        <x:v>12.0</x:v>
      </x:c>
      <x:c r="D55" s="10">
        <x:v>82.0</x:v>
      </x:c>
      <x:c r="E55" s="13" t="s">
        <x:v>213</x:v>
      </x:c>
      <x:c r="F55" s="28">
        <x:v>23.79</x:v>
      </x:c>
      <x:c r="G55" s="28">
        <x:v>7.38</x:v>
      </x:c>
    </x:row>
    <x:row r="56" ht="14.25" customHeight="1">
      <x:c r="A56" s="10">
        <x:v>54.0</x:v>
      </x:c>
      <x:c r="B56" s="10">
        <x:v>1.0</x:v>
      </x:c>
      <x:c r="C56" s="10">
        <x:v>11.0</x:v>
      </x:c>
      <x:c r="D56" s="10">
        <x:v>83.0</x:v>
      </x:c>
      <x:c r="E56" s="13" t="s">
        <x:v>200</x:v>
      </x:c>
      <x:c r="F56" s="28">
        <x:v>36.77</x:v>
      </x:c>
      <x:c r="G56" s="28">
        <x:v>8.1</x:v>
      </x:c>
    </x:row>
    <x:row r="57" ht="14.25" customHeight="1">
      <x:c r="A57" s="10">
        <x:v>55.0</x:v>
      </x:c>
      <x:c r="B57" s="10">
        <x:v>8.0</x:v>
      </x:c>
      <x:c r="C57" s="10">
        <x:v>6.0</x:v>
      </x:c>
      <x:c r="D57" s="10">
        <x:v>84.0</x:v>
      </x:c>
      <x:c r="E57" s="13" t="s">
        <x:v>149</x:v>
      </x:c>
      <x:c r="F57" s="28">
        <x:v>15.53</x:v>
      </x:c>
      <x:c r="G57" s="28">
        <x:v>4.93</x:v>
      </x:c>
    </x:row>
    <x:row r="58" ht="14.25" customHeight="1">
      <x:c r="A58" s="10">
        <x:v>56.0</x:v>
      </x:c>
      <x:c r="B58" s="10">
        <x:v>3.0</x:v>
      </x:c>
      <x:c r="C58" s="10">
        <x:v>2.0</x:v>
      </x:c>
      <x:c r="D58" s="10">
        <x:v>85.0</x:v>
      </x:c>
      <x:c r="E58" s="13" t="s">
        <x:v>214</x:v>
      </x:c>
      <x:c r="F58" s="28">
        <x:v>23.84</x:v>
      </x:c>
      <x:c r="G58" s="28">
        <x:v>8.11</x:v>
      </x:c>
    </x:row>
    <x:row r="59" ht="14.25" customHeight="1">
      <x:c r="A59" s="10">
        <x:v>57.0</x:v>
      </x:c>
      <x:c r="B59" s="10">
        <x:v>10.0</x:v>
      </x:c>
      <x:c r="C59" s="10">
        <x:v>8.0</x:v>
      </x:c>
      <x:c r="D59" s="10">
        <x:v>86.0</x:v>
      </x:c>
      <x:c r="E59" s="13" t="s">
        <x:v>215</x:v>
      </x:c>
      <x:c r="F59" s="28">
        <x:v>31.24</x:v>
      </x:c>
      <x:c r="G59" s="28">
        <x:v>9.64</x:v>
      </x:c>
    </x:row>
    <x:row r="60" ht="14.25" customHeight="1">
      <x:c r="A60" s="10">
        <x:v>58.0</x:v>
      </x:c>
      <x:c r="B60" s="10">
        <x:v>3.0</x:v>
      </x:c>
      <x:c r="C60" s="10">
        <x:v>10.0</x:v>
      </x:c>
      <x:c r="D60" s="10">
        <x:v>87.0</x:v>
      </x:c>
      <x:c r="E60" s="13" t="s">
        <x:v>174</x:v>
      </x:c>
      <x:c r="F60" s="28">
        <x:v>9.0</x:v>
      </x:c>
      <x:c r="G60" s="28">
        <x:v>3.0</x:v>
      </x:c>
    </x:row>
    <x:row r="61" ht="14.25" customHeight="1">
      <x:c r="A61" s="10">
        <x:v>59.0</x:v>
      </x:c>
      <x:c r="B61" s="10">
        <x:v>4.0</x:v>
      </x:c>
      <x:c r="C61" s="10">
        <x:v>1.0</x:v>
      </x:c>
      <x:c r="D61" s="10">
        <x:v>88.0</x:v>
      </x:c>
      <x:c r="E61" s="13" t="s">
        <x:v>197</x:v>
      </x:c>
      <x:c r="F61" s="28">
        <x:v>20.95</x:v>
      </x:c>
      <x:c r="G61" s="28">
        <x:v>5.77</x:v>
      </x:c>
    </x:row>
    <x:row r="62" ht="14.25" customHeight="1">
      <x:c r="A62" s="10">
        <x:v>60.0</x:v>
      </x:c>
      <x:c r="B62" s="10">
        <x:v>1.0</x:v>
      </x:c>
      <x:c r="C62" s="10">
        <x:v>3.0</x:v>
      </x:c>
      <x:c r="D62" s="10">
        <x:v>89.0</x:v>
      </x:c>
      <x:c r="E62" s="13" t="s">
        <x:v>216</x:v>
      </x:c>
      <x:c r="F62" s="28">
        <x:v>30.0</x:v>
      </x:c>
      <x:c r="G62" s="28">
        <x:v>11.19</x:v>
      </x:c>
    </x:row>
    <x:row r="63" ht="14.25" customHeight="1">
      <x:c r="A63" s="10">
        <x:v>61.0</x:v>
      </x:c>
      <x:c r="B63" s="10">
        <x:v>5.0</x:v>
      </x:c>
      <x:c r="C63" s="10">
        <x:v>7.0</x:v>
      </x:c>
      <x:c r="D63" s="10">
        <x:v>90.0</x:v>
      </x:c>
      <x:c r="E63" s="13" t="s">
        <x:v>217</x:v>
      </x:c>
      <x:c r="F63" s="28">
        <x:v>13.81</x:v>
      </x:c>
      <x:c r="G63" s="28">
        <x:v>4.27</x:v>
      </x:c>
    </x:row>
    <x:row r="64" ht="14.25" customHeight="1">
      <x:c r="A64" s="10">
        <x:v>62.0</x:v>
      </x:c>
      <x:c r="B64" s="10">
        <x:v>5.0</x:v>
      </x:c>
      <x:c r="C64" s="10">
        <x:v>2.0</x:v>
      </x:c>
      <x:c r="D64" s="10">
        <x:v>92.0</x:v>
      </x:c>
      <x:c r="E64" s="13" t="s">
        <x:v>187</x:v>
      </x:c>
      <x:c r="F64" s="28">
        <x:v>36.53</x:v>
      </x:c>
      <x:c r="G64" s="28">
        <x:v>11.41</x:v>
      </x:c>
    </x:row>
    <x:row r="65" ht="14.25" customHeight="1">
      <x:c r="A65" s="10">
        <x:v>63.0</x:v>
      </x:c>
      <x:c r="B65" s="10">
        <x:v>1.0</x:v>
      </x:c>
      <x:c r="C65" s="10">
        <x:v>2.0</x:v>
      </x:c>
      <x:c r="D65" s="10">
        <x:v>93.0</x:v>
      </x:c>
      <x:c r="E65" s="13" t="s">
        <x:v>219</x:v>
      </x:c>
      <x:c r="F65" s="28">
        <x:v>36.1</x:v>
      </x:c>
      <x:c r="G65" s="28">
        <x:v>14.41</x:v>
      </x:c>
    </x:row>
    <x:row r="66" ht="14.25" customHeight="1">
      <x:c r="A66" s="10">
        <x:v>64.0</x:v>
      </x:c>
      <x:c r="B66" s="10">
        <x:v>2.0</x:v>
      </x:c>
      <x:c r="C66" s="10">
        <x:v>6.0</x:v>
      </x:c>
      <x:c r="D66" s="10">
        <x:v>94.0</x:v>
      </x:c>
      <x:c r="E66" s="13" t="s">
        <x:v>189</x:v>
      </x:c>
      <x:c r="F66" s="28">
        <x:v>25.95</x:v>
      </x:c>
      <x:c r="G66" s="28">
        <x:v>6.92</x:v>
      </x:c>
    </x:row>
    <x:row r="67" ht="14.25" customHeight="1">
      <x:c r="A67" s="10">
        <x:v>65.0</x:v>
      </x:c>
      <x:c r="B67" s="10">
        <x:v>4.0</x:v>
      </x:c>
      <x:c r="C67" s="10">
        <x:v>5.0</x:v>
      </x:c>
      <x:c r="D67" s="10">
        <x:v>95.0</x:v>
      </x:c>
      <x:c r="E67" s="13" t="s">
        <x:v>188</x:v>
      </x:c>
      <x:c r="F67" s="28">
        <x:v>25.97</x:v>
      </x:c>
      <x:c r="G67" s="28">
        <x:v>8.59</x:v>
      </x:c>
    </x:row>
    <x:row r="68" ht="14.25" customHeight="1">
      <x:c r="A68" s="10">
        <x:v>66.0</x:v>
      </x:c>
      <x:c r="B68" s="10">
        <x:v>4.0</x:v>
      </x:c>
      <x:c r="C68" s="10">
        <x:v>5.0</x:v>
      </x:c>
      <x:c r="D68" s="10">
        <x:v>96.0</x:v>
      </x:c>
      <x:c r="E68" s="13" t="s">
        <x:v>160</x:v>
      </x:c>
      <x:c r="F68" s="28">
        <x:v>9.0</x:v>
      </x:c>
      <x:c r="G68" s="28">
        <x:v>3.0</x:v>
      </x:c>
    </x:row>
    <x:row r="69" ht="14.25" customHeight="1">
      <x:c r="A69" s="10">
        <x:v>67.0</x:v>
      </x:c>
      <x:c r="B69" s="10">
        <x:v>8.0</x:v>
      </x:c>
      <x:c r="C69" s="10">
        <x:v>12.0</x:v>
      </x:c>
      <x:c r="D69" s="10">
        <x:v>98.0</x:v>
      </x:c>
      <x:c r="E69" s="13" t="s">
        <x:v>220</x:v>
      </x:c>
      <x:c r="F69" s="28">
        <x:v>23.03</x:v>
      </x:c>
      <x:c r="G69" s="28">
        <x:v>4.86</x:v>
      </x:c>
    </x:row>
    <x:row r="70" ht="14.25" customHeight="1">
      <x:c r="A70" s="10">
        <x:v>68.0</x:v>
      </x:c>
      <x:c r="B70" s="10">
        <x:v>7.0</x:v>
      </x:c>
      <x:c r="C70" s="10">
        <x:v>11.0</x:v>
      </x:c>
      <x:c r="D70" s="10">
        <x:v>99.0</x:v>
      </x:c>
      <x:c r="E70" s="13" t="s">
        <x:v>221</x:v>
      </x:c>
      <x:c r="F70" s="28">
        <x:v>22.7</x:v>
      </x:c>
      <x:c r="G70" s="28">
        <x:v>9.06</x:v>
      </x:c>
    </x:row>
    <x:row r="71" ht="14.25" customHeight="1">
      <x:c r="A71" s="10">
        <x:v>69.0</x:v>
      </x:c>
      <x:c r="B71" s="10">
        <x:v>10.0</x:v>
      </x:c>
      <x:c r="C71" s="10">
        <x:v>12.0</x:v>
      </x:c>
      <x:c r="D71" s="10">
        <x:v>101.0</x:v>
      </x:c>
      <x:c r="E71" s="13" t="s">
        <x:v>223</x:v>
      </x:c>
      <x:c r="F71" s="28">
        <x:v>26.94</x:v>
      </x:c>
      <x:c r="G71" s="28">
        <x:v>6.72</x:v>
      </x:c>
    </x:row>
    <x:row r="72" ht="14.25" customHeight="1">
      <x:c r="A72" s="10">
        <x:v>70.0</x:v>
      </x:c>
      <x:c r="B72" s="10">
        <x:v>4.0</x:v>
      </x:c>
      <x:c r="C72" s="10">
        <x:v>10.0</x:v>
      </x:c>
      <x:c r="D72" s="10">
        <x:v>102.0</x:v>
      </x:c>
      <x:c r="E72" s="13" t="s">
        <x:v>224</x:v>
      </x:c>
      <x:c r="F72" s="28">
        <x:v>21.53</x:v>
      </x:c>
      <x:c r="G72" s="28">
        <x:v>7.12</x:v>
      </x:c>
    </x:row>
    <x:row r="73" ht="14.25" customHeight="1">
      <x:c r="A73" s="10">
        <x:v>71.0</x:v>
      </x:c>
      <x:c r="B73" s="10">
        <x:v>1.0</x:v>
      </x:c>
      <x:c r="C73" s="10">
        <x:v>5.0</x:v>
      </x:c>
      <x:c r="D73" s="10">
        <x:v>103.0</x:v>
      </x:c>
      <x:c r="E73" s="13" t="s">
        <x:v>225</x:v>
      </x:c>
      <x:c r="F73" s="28">
        <x:v>17.51</x:v>
      </x:c>
      <x:c r="G73" s="28">
        <x:v>6.03</x:v>
      </x:c>
    </x:row>
    <x:row r="74" ht="14.25" customHeight="1">
      <x:c r="A74" s="10">
        <x:v>72.0</x:v>
      </x:c>
      <x:c r="B74" s="10">
        <x:v>8.0</x:v>
      </x:c>
      <x:c r="C74" s="10">
        <x:v>5.0</x:v>
      </x:c>
      <x:c r="D74" s="10">
        <x:v>104.0</x:v>
      </x:c>
      <x:c r="E74" s="13" t="s">
        <x:v>160</x:v>
      </x:c>
      <x:c r="F74" s="28">
        <x:v>27.41</x:v>
      </x:c>
      <x:c r="G74" s="28">
        <x:v>8.31</x:v>
      </x:c>
    </x:row>
    <x:row r="75" ht="14.25" customHeight="1">
      <x:c r="A75" s="10">
        <x:v>73.0</x:v>
      </x:c>
      <x:c r="B75" s="10">
        <x:v>3.0</x:v>
      </x:c>
      <x:c r="C75" s="10">
        <x:v>1.0</x:v>
      </x:c>
      <x:c r="D75" s="10">
        <x:v>107.0</x:v>
      </x:c>
      <x:c r="E75" s="13" t="s">
        <x:v>226</x:v>
      </x:c>
      <x:c r="F75" s="28">
        <x:v>25.76</x:v>
      </x:c>
      <x:c r="G75" s="28">
        <x:v>7.53</x:v>
      </x:c>
    </x:row>
    <x:row r="76" ht="14.25" customHeight="1">
      <x:c r="A76" s="10">
        <x:v>74.0</x:v>
      </x:c>
      <x:c r="B76" s="10">
        <x:v>6.0</x:v>
      </x:c>
      <x:c r="C76" s="10">
        <x:v>1.0</x:v>
      </x:c>
      <x:c r="D76" s="10">
        <x:v>108.0</x:v>
      </x:c>
      <x:c r="E76" s="13" t="s">
        <x:v>195</x:v>
      </x:c>
      <x:c r="F76" s="28">
        <x:v>45.56</x:v>
      </x:c>
      <x:c r="G76" s="28">
        <x:v>15.85</x:v>
      </x:c>
    </x:row>
    <x:row r="77" ht="14.25" customHeight="1">
      <x:c r="A77" s="10">
        <x:v>75.0</x:v>
      </x:c>
      <x:c r="B77" s="10">
        <x:v>6.0</x:v>
      </x:c>
      <x:c r="C77" s="10">
        <x:v>6.0</x:v>
      </x:c>
      <x:c r="D77" s="10">
        <x:v>109.0</x:v>
      </x:c>
      <x:c r="E77" s="13" t="s">
        <x:v>178</x:v>
      </x:c>
      <x:c r="F77" s="28">
        <x:v>28.31</x:v>
      </x:c>
      <x:c r="G77" s="28">
        <x:v>8.48</x:v>
      </x:c>
    </x:row>
    <x:row r="78" ht="14.25" customHeight="1">
      <x:c r="A78" s="10">
        <x:v>76.0</x:v>
      </x:c>
      <x:c r="B78" s="10">
        <x:v>4.0</x:v>
      </x:c>
      <x:c r="C78" s="10">
        <x:v>12.0</x:v>
      </x:c>
      <x:c r="D78" s="10">
        <x:v>114.0</x:v>
      </x:c>
      <x:c r="E78" s="13" t="s">
        <x:v>210</x:v>
      </x:c>
      <x:c r="F78" s="28">
        <x:v>33.31</x:v>
      </x:c>
      <x:c r="G78" s="28">
        <x:v>11.3</x:v>
      </x:c>
    </x:row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0" customWidth="1"/>
    <x:col min="2" max="2" width="15" customWidth="1"/>
    <x:col min="3" max="3" width="20" customWidth="1"/>
    <x:col min="4" max="5" width="12" customWidth="1"/>
    <x:col min="6" max="6" width="16" customWidth="1"/>
    <x:col min="7" max="7" width="17" customWidth="1"/>
    <x:col min="8" max="8" width="15" customWidth="1"/>
    <x:col min="9" max="9" width="10" customWidth="1"/>
    <x:col min="10" max="10" width="12" customWidth="1"/>
    <x:col min="11" max="26" width="8.710000038146973" customWidth="1"/>
  </x:cols>
  <x:sheetData>
    <x:row r="1" ht="14.25" customHeight="1">
      <x:c r="A1" s="2" t="s">
        <x:v>234</x:v>
      </x:c>
    </x:row>
    <x:row r="2" ht="14.25" customHeight="1">
      <x:c r="A2" s="6" t="s">
        <x:v>230</x:v>
      </x:c>
      <x:c r="B2" s="6" t="s">
        <x:v>235</x:v>
      </x:c>
      <x:c r="C2" s="6" t="s">
        <x:v>236</x:v>
      </x:c>
      <x:c r="D2" s="6" t="s">
        <x:v>231</x:v>
      </x:c>
      <x:c r="E2" s="6" t="s">
        <x:v>237</x:v>
      </x:c>
      <x:c r="F2" s="6" t="s">
        <x:v>238</x:v>
      </x:c>
      <x:c r="G2" s="6" t="s">
        <x:v>239</x:v>
      </x:c>
      <x:c r="H2" s="6" t="s">
        <x:v>240</x:v>
      </x:c>
      <x:c r="I2" s="6" t="s">
        <x:v>241</x:v>
      </x:c>
      <x:c r="J2" s="6" t="s">
        <x:v>242</x:v>
      </x:c>
    </x:row>
    <x:row r="3" ht="14.25" customHeight="1">
      <x:c r="A3" s="10">
        <x:v>1.0</x:v>
      </x:c>
      <x:c r="B3" s="13" t="s">
        <x:v>243</x:v>
      </x:c>
      <x:c r="C3" s="13" t="s">
        <x:v>244</x:v>
      </x:c>
      <x:c r="D3" s="13" t="s">
        <x:v>245</x:v>
      </x:c>
      <x:c r="E3" s="10">
        <x:v>671.0</x:v>
      </x:c>
      <x:c r="F3" s="28">
        <x:v>12.38</x:v>
      </x:c>
      <x:c r="G3" s="28">
        <x:v>8306.98</x:v>
      </x:c>
      <x:c r="H3" s="28">
        <x:v>368.75</x:v>
      </x:c>
      <x:c r="I3" s="28">
        <x:v>4327.95</x:v>
      </x:c>
      <x:c r="J3" s="28">
        <x:v>3610.28</x:v>
      </x:c>
    </x:row>
    <x:row r="4" ht="14.25" customHeight="1">
      <x:c r="A4" s="10">
        <x:v>2.0</x:v>
      </x:c>
      <x:c r="B4" s="13" t="s">
        <x:v>243</x:v>
      </x:c>
      <x:c r="C4" s="13" t="s">
        <x:v>246</x:v>
      </x:c>
      <x:c r="D4" s="13" t="s">
        <x:v>247</x:v>
      </x:c>
      <x:c r="E4" s="10">
        <x:v>1900.0</x:v>
      </x:c>
      <x:c r="F4" s="28">
        <x:v>13.98</x:v>
      </x:c>
      <x:c r="G4" s="28">
        <x:v>26562.0</x:v>
      </x:c>
      <x:c r="H4" s="28">
        <x:v>3269.11</x:v>
      </x:c>
      <x:c r="I4" s="28">
        <x:v>14212.0</x:v>
      </x:c>
      <x:c r="J4" s="28">
        <x:v>9080.89</x:v>
      </x:c>
    </x:row>
    <x:row r="5" ht="14.25" customHeight="1">
      <x:c r="A5" s="10">
        <x:v>3.0</x:v>
      </x:c>
      <x:c r="B5" s="13" t="s">
        <x:v>248</x:v>
      </x:c>
      <x:c r="C5" s="13" t="s">
        <x:v>244</x:v>
      </x:c>
      <x:c r="D5" s="13" t="s">
        <x:v>249</x:v>
      </x:c>
      <x:c r="E5" s="10">
        <x:v>1630.0</x:v>
      </x:c>
      <x:c r="F5" s="28">
        <x:v>11.49</x:v>
      </x:c>
      <x:c r="G5" s="28">
        <x:v>18728.7</x:v>
      </x:c>
      <x:c r="H5" s="28">
        <x:v>2871.05</x:v>
      </x:c>
      <x:c r="I5" s="28">
        <x:v>9861.5</x:v>
      </x:c>
      <x:c r="J5" s="28">
        <x:v>5996.15</x:v>
      </x:c>
    </x:row>
    <x:row r="6" ht="14.25" customHeight="1">
      <x:c r="A6" s="10">
        <x:v>4.0</x:v>
      </x:c>
      <x:c r="B6" s="13" t="s">
        <x:v>248</x:v>
      </x:c>
      <x:c r="C6" s="13" t="s">
        <x:v>250</x:v>
      </x:c>
      <x:c r="D6" s="13" t="s">
        <x:v>251</x:v>
      </x:c>
      <x:c r="E6" s="10">
        <x:v>1238.0</x:v>
      </x:c>
      <x:c r="F6" s="28">
        <x:v>7.53</x:v>
      </x:c>
      <x:c r="G6" s="28">
        <x:v>9322.14</x:v>
      </x:c>
      <x:c r="H6" s="28">
        <x:v>880.48</x:v>
      </x:c>
      <x:c r="I6" s="28">
        <x:v>4456.8</x:v>
      </x:c>
      <x:c r="J6" s="28">
        <x:v>3984.86</x:v>
      </x:c>
    </x:row>
    <x:row r="7" ht="14.25" customHeight="1">
      <x:c r="A7" s="10">
        <x:v>5.0</x:v>
      </x:c>
      <x:c r="B7" s="13" t="s">
        <x:v>252</x:v>
      </x:c>
      <x:c r="C7" s="13" t="s">
        <x:v>244</x:v>
      </x:c>
      <x:c r="D7" s="13" t="s">
        <x:v>253</x:v>
      </x:c>
      <x:c r="E7" s="10">
        <x:v>844.0</x:v>
      </x:c>
      <x:c r="F7" s="28">
        <x:v>11.97</x:v>
      </x:c>
      <x:c r="G7" s="28">
        <x:v>10102.68</x:v>
      </x:c>
      <x:c r="H7" s="28">
        <x:v>3407.44</x:v>
      </x:c>
      <x:c r="I7" s="28">
        <x:v>5291.88</x:v>
      </x:c>
      <x:c r="J7" s="28">
        <x:v>1403.36</x:v>
      </x:c>
    </x:row>
    <x:row r="8" ht="14.25" customHeight="1">
      <x:c r="A8" s="10">
        <x:v>6.0</x:v>
      </x:c>
      <x:c r="B8" s="13" t="s">
        <x:v>248</x:v>
      </x:c>
      <x:c r="C8" s="13" t="s">
        <x:v>244</x:v>
      </x:c>
      <x:c r="D8" s="13" t="s">
        <x:v>254</x:v>
      </x:c>
      <x:c r="E8" s="10">
        <x:v>1011.0</x:v>
      </x:c>
      <x:c r="F8" s="28">
        <x:v>11.58</x:v>
      </x:c>
      <x:c r="G8" s="28">
        <x:v>11707.38</x:v>
      </x:c>
      <x:c r="H8" s="28">
        <x:v>1694.54</x:v>
      </x:c>
      <x:c r="I8" s="28">
        <x:v>5408.85</x:v>
      </x:c>
      <x:c r="J8" s="28">
        <x:v>4603.99</x:v>
      </x:c>
    </x:row>
    <x:row r="9" ht="14.25" customHeight="1">
      <x:c r="A9" s="10">
        <x:v>7.0</x:v>
      </x:c>
      <x:c r="B9" s="13" t="s">
        <x:v>255</x:v>
      </x:c>
      <x:c r="C9" s="13" t="s">
        <x:v>244</x:v>
      </x:c>
      <x:c r="D9" s="13" t="s">
        <x:v>256</x:v>
      </x:c>
      <x:c r="E9" s="10">
        <x:v>862.0</x:v>
      </x:c>
      <x:c r="F9" s="28">
        <x:v>12.04</x:v>
      </x:c>
      <x:c r="G9" s="28">
        <x:v>10378.48</x:v>
      </x:c>
      <x:c r="H9" s="28">
        <x:v>2058.94</x:v>
      </x:c>
      <x:c r="I9" s="28">
        <x:v>4809.96</x:v>
      </x:c>
      <x:c r="J9" s="28">
        <x:v>3509.58</x:v>
      </x:c>
    </x:row>
    <x:row r="10" ht="14.25" customHeight="1">
      <x:c r="A10" s="10">
        <x:v>8.0</x:v>
      </x:c>
      <x:c r="B10" s="13" t="s">
        <x:v>243</x:v>
      </x:c>
      <x:c r="C10" s="13" t="s">
        <x:v>250</x:v>
      </x:c>
      <x:c r="D10" s="13" t="s">
        <x:v>257</x:v>
      </x:c>
      <x:c r="E10" s="10">
        <x:v>1119.0</x:v>
      </x:c>
      <x:c r="F10" s="28">
        <x:v>6.78</x:v>
      </x:c>
      <x:c r="G10" s="28">
        <x:v>7586.82</x:v>
      </x:c>
      <x:c r="H10" s="28">
        <x:v>899.04</x:v>
      </x:c>
      <x:c r="I10" s="28">
        <x:v>3670.32</x:v>
      </x:c>
      <x:c r="J10" s="28">
        <x:v>3017.46</x:v>
      </x:c>
    </x:row>
    <x:row r="11" ht="14.25" customHeight="1">
      <x:c r="A11" s="10">
        <x:v>9.0</x:v>
      </x:c>
      <x:c r="B11" s="13" t="s">
        <x:v>252</x:v>
      </x:c>
      <x:c r="C11" s="13" t="s">
        <x:v>250</x:v>
      </x:c>
      <x:c r="D11" s="13" t="s">
        <x:v>258</x:v>
      </x:c>
      <x:c r="E11" s="10">
        <x:v>240.0</x:v>
      </x:c>
      <x:c r="F11" s="28">
        <x:v>6.18</x:v>
      </x:c>
      <x:c r="G11" s="28">
        <x:v>1483.2</x:v>
      </x:c>
      <x:c r="H11" s="28">
        <x:v>469.02</x:v>
      </x:c>
      <x:c r="I11" s="28">
        <x:v>777.6</x:v>
      </x:c>
      <x:c r="J11" s="28">
        <x:v>236.58</x:v>
      </x:c>
    </x:row>
    <x:row r="12" ht="14.25" customHeight="1">
      <x:c r="A12" s="10">
        <x:v>10.0</x:v>
      </x:c>
      <x:c r="B12" s="13" t="s">
        <x:v>259</x:v>
      </x:c>
      <x:c r="C12" s="13" t="s">
        <x:v>250</x:v>
      </x:c>
      <x:c r="D12" s="13" t="s">
        <x:v>260</x:v>
      </x:c>
      <x:c r="E12" s="10">
        <x:v>1324.0</x:v>
      </x:c>
      <x:c r="F12" s="28">
        <x:v>6.62</x:v>
      </x:c>
      <x:c r="G12" s="28">
        <x:v>8764.88</x:v>
      </x:c>
      <x:c r="H12" s="28">
        <x:v>1346.96</x:v>
      </x:c>
      <x:c r="I12" s="28">
        <x:v>4223.56</x:v>
      </x:c>
      <x:c r="J12" s="28">
        <x:v>3194.36</x:v>
      </x:c>
    </x:row>
    <x:row r="13" ht="14.25" customHeight="1">
      <x:c r="A13" s="10">
        <x:v>11.0</x:v>
      </x:c>
      <x:c r="B13" s="13" t="s">
        <x:v>255</x:v>
      </x:c>
      <x:c r="C13" s="13" t="s">
        <x:v>261</x:v>
      </x:c>
      <x:c r="D13" s="13" t="s">
        <x:v>262</x:v>
      </x:c>
      <x:c r="E13" s="10">
        <x:v>1034.0</x:v>
      </x:c>
      <x:c r="F13" s="28">
        <x:v>15.31</x:v>
      </x:c>
      <x:c r="G13" s="28">
        <x:v>15830.54</x:v>
      </x:c>
      <x:c r="H13" s="28">
        <x:v>2876.71</x:v>
      </x:c>
      <x:c r="I13" s="28">
        <x:v>7930.78</x:v>
      </x:c>
      <x:c r="J13" s="28">
        <x:v>5023.05</x:v>
      </x:c>
    </x:row>
    <x:row r="14" ht="14.25" customHeight="1">
      <x:c r="A14" s="10">
        <x:v>12.0</x:v>
      </x:c>
      <x:c r="B14" s="13" t="s">
        <x:v>243</x:v>
      </x:c>
      <x:c r="C14" s="13" t="s">
        <x:v>250</x:v>
      </x:c>
      <x:c r="D14" s="13" t="s">
        <x:v>263</x:v>
      </x:c>
      <x:c r="E14" s="10">
        <x:v>1333.0</x:v>
      </x:c>
      <x:c r="F14" s="28">
        <x:v>7.85</x:v>
      </x:c>
      <x:c r="G14" s="28">
        <x:v>10464.05</x:v>
      </x:c>
      <x:c r="H14" s="28">
        <x:v>659.58</x:v>
      </x:c>
      <x:c r="I14" s="28">
        <x:v>5105.39</x:v>
      </x:c>
      <x:c r="J14" s="28">
        <x:v>4699.08</x:v>
      </x:c>
    </x:row>
    <x:row r="15" ht="14.25" customHeight="1">
      <x:c r="A15" s="10">
        <x:v>13.0</x:v>
      </x:c>
      <x:c r="B15" s="13" t="s">
        <x:v>243</x:v>
      </x:c>
      <x:c r="C15" s="13" t="s">
        <x:v>246</x:v>
      </x:c>
      <x:c r="D15" s="13" t="s">
        <x:v>264</x:v>
      </x:c>
      <x:c r="E15" s="10">
        <x:v>960.0</x:v>
      </x:c>
      <x:c r="F15" s="28">
        <x:v>10.47</x:v>
      </x:c>
      <x:c r="G15" s="28">
        <x:v>10051.2</x:v>
      </x:c>
      <x:c r="H15" s="28">
        <x:v>1316.32</x:v>
      </x:c>
      <x:c r="I15" s="28">
        <x:v>5126.4</x:v>
      </x:c>
      <x:c r="J15" s="28">
        <x:v>3608.48</x:v>
      </x:c>
    </x:row>
    <x:row r="16" ht="14.25" customHeight="1">
      <x:c r="A16" s="10">
        <x:v>14.0</x:v>
      </x:c>
      <x:c r="B16" s="13" t="s">
        <x:v>265</x:v>
      </x:c>
      <x:c r="C16" s="13" t="s">
        <x:v>244</x:v>
      </x:c>
      <x:c r="D16" s="13" t="s">
        <x:v>266</x:v>
      </x:c>
      <x:c r="E16" s="10">
        <x:v>60.0</x:v>
      </x:c>
      <x:c r="F16" s="28">
        <x:v>11.38</x:v>
      </x:c>
      <x:c r="G16" s="28">
        <x:v>682.8</x:v>
      </x:c>
      <x:c r="H16" s="28">
        <x:v>41.09</x:v>
      </x:c>
      <x:c r="I16" s="28">
        <x:v>363.0</x:v>
      </x:c>
      <x:c r="J16" s="28">
        <x:v>278.71</x:v>
      </x:c>
    </x:row>
    <x:row r="17" ht="14.25" customHeight="1">
      <x:c r="A17" s="10">
        <x:v>15.0</x:v>
      </x:c>
      <x:c r="B17" s="13" t="s">
        <x:v>243</x:v>
      </x:c>
      <x:c r="C17" s="13" t="s">
        <x:v>267</x:v>
      </x:c>
      <x:c r="D17" s="13" t="s">
        <x:v>268</x:v>
      </x:c>
      <x:c r="E17" s="10">
        <x:v>1413.0</x:v>
      </x:c>
      <x:c r="F17" s="28">
        <x:v>17.72</x:v>
      </x:c>
      <x:c r="G17" s="28">
        <x:v>25038.36</x:v>
      </x:c>
      <x:c r="H17" s="28">
        <x:v>1994.13</x:v>
      </x:c>
      <x:c r="I17" s="28">
        <x:v>12928.95</x:v>
      </x:c>
      <x:c r="J17" s="28">
        <x:v>10115.28</x:v>
      </x:c>
    </x:row>
    <x:row r="18" ht="14.25" customHeight="1">
      <x:c r="A18" s="10">
        <x:v>16.0</x:v>
      </x:c>
      <x:c r="B18" s="13" t="s">
        <x:v>248</x:v>
      </x:c>
      <x:c r="C18" s="13" t="s">
        <x:v>267</x:v>
      </x:c>
      <x:c r="D18" s="13" t="s">
        <x:v>269</x:v>
      </x:c>
      <x:c r="E18" s="10">
        <x:v>374.0</x:v>
      </x:c>
      <x:c r="F18" s="28">
        <x:v>17.02</x:v>
      </x:c>
      <x:c r="G18" s="28">
        <x:v>6365.48</x:v>
      </x:c>
      <x:c r="H18" s="28">
        <x:v>421.41</x:v>
      </x:c>
      <x:c r="I18" s="28">
        <x:v>3036.88</x:v>
      </x:c>
      <x:c r="J18" s="28">
        <x:v>2907.19</x:v>
      </x:c>
    </x:row>
    <x:row r="19" ht="14.25" customHeight="1">
      <x:c r="A19" s="10">
        <x:v>17.0</x:v>
      </x:c>
      <x:c r="B19" s="13" t="s">
        <x:v>248</x:v>
      </x:c>
      <x:c r="C19" s="13" t="s">
        <x:v>267</x:v>
      </x:c>
      <x:c r="D19" s="13" t="s">
        <x:v>270</x:v>
      </x:c>
      <x:c r="E19" s="10">
        <x:v>1606.0</x:v>
      </x:c>
      <x:c r="F19" s="28">
        <x:v>16.62</x:v>
      </x:c>
      <x:c r="G19" s="28">
        <x:v>26691.72</x:v>
      </x:c>
      <x:c r="H19" s="28">
        <x:v>3306.84</x:v>
      </x:c>
      <x:c r="I19" s="28">
        <x:v>14534.3</x:v>
      </x:c>
      <x:c r="J19" s="28">
        <x:v>8850.58</x:v>
      </x:c>
    </x:row>
    <x:row r="20" ht="14.25" customHeight="1">
      <x:c r="A20" s="10">
        <x:v>18.0</x:v>
      </x:c>
      <x:c r="B20" s="13" t="s">
        <x:v>265</x:v>
      </x:c>
      <x:c r="C20" s="13" t="s">
        <x:v>250</x:v>
      </x:c>
      <x:c r="D20" s="13" t="s">
        <x:v>271</x:v>
      </x:c>
      <x:c r="E20" s="10">
        <x:v>833.0</x:v>
      </x:c>
      <x:c r="F20" s="28">
        <x:v>4.0</x:v>
      </x:c>
      <x:c r="G20" s="28">
        <x:v>3332.0</x:v>
      </x:c>
      <x:c r="H20" s="28">
        <x:v>260.66</x:v>
      </x:c>
      <x:c r="I20" s="28">
        <x:v>1799.28</x:v>
      </x:c>
      <x:c r="J20" s="28">
        <x:v>1272.06</x:v>
      </x:c>
    </x:row>
    <x:row r="21" ht="14.25" customHeight="1">
      <x:c r="A21" s="10">
        <x:v>19.0</x:v>
      </x:c>
      <x:c r="B21" s="13" t="s">
        <x:v>255</x:v>
      </x:c>
      <x:c r="C21" s="13" t="s">
        <x:v>246</x:v>
      </x:c>
      <x:c r="D21" s="13" t="s">
        <x:v>272</x:v>
      </x:c>
      <x:c r="E21" s="10">
        <x:v>750.0</x:v>
      </x:c>
      <x:c r="F21" s="28">
        <x:v>13.05</x:v>
      </x:c>
      <x:c r="G21" s="28">
        <x:v>9787.5</x:v>
      </x:c>
      <x:c r="H21" s="28">
        <x:v>2077.41</x:v>
      </x:c>
      <x:c r="I21" s="28">
        <x:v>5130.0</x:v>
      </x:c>
      <x:c r="J21" s="28">
        <x:v>2580.09</x:v>
      </x:c>
    </x:row>
    <x:row r="22" ht="14.25" customHeight="1">
      <x:c r="A22" s="10">
        <x:v>20.0</x:v>
      </x:c>
      <x:c r="B22" s="13" t="s">
        <x:v>243</x:v>
      </x:c>
      <x:c r="C22" s="13" t="s">
        <x:v>250</x:v>
      </x:c>
      <x:c r="D22" s="13" t="s">
        <x:v>273</x:v>
      </x:c>
      <x:c r="E22" s="10">
        <x:v>1021.0</x:v>
      </x:c>
      <x:c r="F22" s="28">
        <x:v>6.1</x:v>
      </x:c>
      <x:c r="G22" s="28">
        <x:v>6228.1</x:v>
      </x:c>
      <x:c r="H22" s="28">
        <x:v>656.63</x:v>
      </x:c>
      <x:c r="I22" s="28">
        <x:v>2960.9</x:v>
      </x:c>
      <x:c r="J22" s="28">
        <x:v>2610.57</x:v>
      </x:c>
    </x:row>
    <x:row r="23" ht="14.25" customHeight="1">
      <x:c r="A23" s="10">
        <x:v>21.0</x:v>
      </x:c>
      <x:c r="B23" s="13" t="s">
        <x:v>248</x:v>
      </x:c>
      <x:c r="C23" s="13" t="s">
        <x:v>261</x:v>
      </x:c>
      <x:c r="D23" s="13" t="s">
        <x:v>274</x:v>
      </x:c>
      <x:c r="E23" s="10">
        <x:v>714.0</x:v>
      </x:c>
      <x:c r="F23" s="28">
        <x:v>13.7</x:v>
      </x:c>
      <x:c r="G23" s="28">
        <x:v>9781.8</x:v>
      </x:c>
      <x:c r="H23" s="28">
        <x:v>1526.89</x:v>
      </x:c>
      <x:c r="I23" s="28">
        <x:v>4483.92</x:v>
      </x:c>
      <x:c r="J23" s="28">
        <x:v>3770.99</x:v>
      </x:c>
    </x:row>
    <x:row r="24" ht="14.25" customHeight="1">
      <x:c r="A24" s="10">
        <x:v>22.0</x:v>
      </x:c>
      <x:c r="B24" s="13" t="s">
        <x:v>255</x:v>
      </x:c>
      <x:c r="C24" s="13" t="s">
        <x:v>267</x:v>
      </x:c>
      <x:c r="D24" s="13" t="s">
        <x:v>275</x:v>
      </x:c>
      <x:c r="E24" s="10">
        <x:v>1069.0</x:v>
      </x:c>
      <x:c r="F24" s="28">
        <x:v>16.37</x:v>
      </x:c>
      <x:c r="G24" s="28">
        <x:v>17499.53</x:v>
      </x:c>
      <x:c r="H24" s="28">
        <x:v>4134.38</x:v>
      </x:c>
      <x:c r="I24" s="28">
        <x:v>9428.58</x:v>
      </x:c>
      <x:c r="J24" s="28">
        <x:v>3936.57</x:v>
      </x:c>
    </x:row>
    <x:row r="25" ht="14.25" customHeight="1">
      <x:c r="A25" s="10">
        <x:v>23.0</x:v>
      </x:c>
      <x:c r="B25" s="13" t="s">
        <x:v>243</x:v>
      </x:c>
      <x:c r="C25" s="13" t="s">
        <x:v>246</x:v>
      </x:c>
      <x:c r="D25" s="13" t="s">
        <x:v>276</x:v>
      </x:c>
      <x:c r="E25" s="10">
        <x:v>1638.0</x:v>
      </x:c>
      <x:c r="F25" s="28">
        <x:v>12.12</x:v>
      </x:c>
      <x:c r="G25" s="28">
        <x:v>19852.56</x:v>
      </x:c>
      <x:c r="H25" s="28">
        <x:v>1432.17</x:v>
      </x:c>
      <x:c r="I25" s="28">
        <x:v>9172.8</x:v>
      </x:c>
      <x:c r="J25" s="28">
        <x:v>9247.59</x:v>
      </x:c>
    </x:row>
    <x:row r="26" ht="14.25" customHeight="1">
      <x:c r="A26" s="10">
        <x:v>24.0</x:v>
      </x:c>
      <x:c r="B26" s="13" t="s">
        <x:v>255</x:v>
      </x:c>
      <x:c r="C26" s="13" t="s">
        <x:v>267</x:v>
      </x:c>
      <x:c r="D26" s="13" t="s">
        <x:v>277</x:v>
      </x:c>
      <x:c r="E26" s="10">
        <x:v>736.0</x:v>
      </x:c>
      <x:c r="F26" s="28">
        <x:v>15.65</x:v>
      </x:c>
      <x:c r="G26" s="28">
        <x:v>11518.4</x:v>
      </x:c>
      <x:c r="H26" s="28">
        <x:v>3018.95</x:v>
      </x:c>
      <x:c r="I26" s="28">
        <x:v>5416.96</x:v>
      </x:c>
      <x:c r="J26" s="28">
        <x:v>3082.49</x:v>
      </x:c>
    </x:row>
    <x:row r="27" ht="14.25" customHeight="1">
      <x:c r="A27" s="10">
        <x:v>25.0</x:v>
      </x:c>
      <x:c r="B27" s="13" t="s">
        <x:v>255</x:v>
      </x:c>
      <x:c r="C27" s="13" t="s">
        <x:v>267</x:v>
      </x:c>
      <x:c r="D27" s="13" t="s">
        <x:v>278</x:v>
      </x:c>
      <x:c r="E27" s="10">
        <x:v>1260.0</x:v>
      </x:c>
      <x:c r="F27" s="28">
        <x:v>17.78</x:v>
      </x:c>
      <x:c r="G27" s="28">
        <x:v>22402.8</x:v>
      </x:c>
      <x:c r="H27" s="28">
        <x:v>4294.87</x:v>
      </x:c>
      <x:c r="I27" s="28">
        <x:v>10647.0</x:v>
      </x:c>
      <x:c r="J27" s="28">
        <x:v>7460.93</x:v>
      </x:c>
    </x:row>
    <x:row r="28" ht="14.25" customHeight="1">
      <x:c r="A28" s="10">
        <x:v>26.0</x:v>
      </x:c>
      <x:c r="B28" s="13" t="s">
        <x:v>252</x:v>
      </x:c>
      <x:c r="C28" s="13" t="s">
        <x:v>244</x:v>
      </x:c>
      <x:c r="D28" s="13" t="s">
        <x:v>279</x:v>
      </x:c>
      <x:c r="E28" s="10">
        <x:v>1410.0</x:v>
      </x:c>
      <x:c r="F28" s="28">
        <x:v>10.31</x:v>
      </x:c>
      <x:c r="G28" s="28">
        <x:v>14537.1</x:v>
      </x:c>
      <x:c r="H28" s="28">
        <x:v>4569.24</x:v>
      </x:c>
      <x:c r="I28" s="28">
        <x:v>7670.4</x:v>
      </x:c>
      <x:c r="J28" s="28">
        <x:v>2297.46</x:v>
      </x:c>
    </x:row>
    <x:row r="29" ht="14.25" customHeight="1">
      <x:c r="A29" s="10">
        <x:v>27.0</x:v>
      </x:c>
      <x:c r="B29" s="13" t="s">
        <x:v>243</x:v>
      </x:c>
      <x:c r="C29" s="13" t="s">
        <x:v>244</x:v>
      </x:c>
      <x:c r="D29" s="13" t="s">
        <x:v>280</x:v>
      </x:c>
      <x:c r="E29" s="10">
        <x:v>60.0</x:v>
      </x:c>
      <x:c r="F29" s="28">
        <x:v>12.8</x:v>
      </x:c>
      <x:c r="G29" s="28">
        <x:v>768.0</x:v>
      </x:c>
      <x:c r="H29" s="28">
        <x:v>102.15</x:v>
      </x:c>
      <x:c r="I29" s="28">
        <x:v>370.8</x:v>
      </x:c>
      <x:c r="J29" s="28">
        <x:v>295.05</x:v>
      </x:c>
    </x:row>
    <x:row r="30" ht="14.25" customHeight="1">
      <x:c r="A30" s="10">
        <x:v>28.0</x:v>
      </x:c>
      <x:c r="B30" s="13" t="s">
        <x:v>265</x:v>
      </x:c>
      <x:c r="C30" s="13" t="s">
        <x:v>261</x:v>
      </x:c>
      <x:c r="D30" s="13" t="s">
        <x:v>281</x:v>
      </x:c>
      <x:c r="E30" s="10">
        <x:v>1350.0</x:v>
      </x:c>
      <x:c r="F30" s="28">
        <x:v>15.45</x:v>
      </x:c>
      <x:c r="G30" s="28">
        <x:v>20857.5</x:v>
      </x:c>
      <x:c r="H30" s="28">
        <x:v>2488.19</x:v>
      </x:c>
      <x:c r="I30" s="28">
        <x:v>11421.0</x:v>
      </x:c>
      <x:c r="J30" s="28">
        <x:v>6948.31</x:v>
      </x:c>
    </x:row>
    <x:row r="31" ht="14.25" customHeight="1">
      <x:c r="A31" s="10">
        <x:v>29.0</x:v>
      </x:c>
      <x:c r="B31" s="13" t="s">
        <x:v>252</x:v>
      </x:c>
      <x:c r="C31" s="13" t="s">
        <x:v>267</x:v>
      </x:c>
      <x:c r="D31" s="13" t="s">
        <x:v>282</x:v>
      </x:c>
      <x:c r="E31" s="10">
        <x:v>126.0</x:v>
      </x:c>
      <x:c r="F31" s="28">
        <x:v>15.23</x:v>
      </x:c>
      <x:c r="G31" s="28">
        <x:v>1918.98</x:v>
      </x:c>
      <x:c r="H31" s="28">
        <x:v>639.45</x:v>
      </x:c>
      <x:c r="I31" s="28">
        <x:v>953.82</x:v>
      </x:c>
      <x:c r="J31" s="28">
        <x:v>325.71</x:v>
      </x:c>
    </x:row>
    <x:row r="32" ht="14.25" customHeight="1">
      <x:c r="A32" s="10">
        <x:v>30.0</x:v>
      </x:c>
      <x:c r="B32" s="13" t="s">
        <x:v>255</x:v>
      </x:c>
      <x:c r="C32" s="13" t="s">
        <x:v>267</x:v>
      </x:c>
      <x:c r="D32" s="13" t="s">
        <x:v>283</x:v>
      </x:c>
      <x:c r="E32" s="10">
        <x:v>873.0</x:v>
      </x:c>
      <x:c r="F32" s="28">
        <x:v>16.55</x:v>
      </x:c>
      <x:c r="G32" s="28">
        <x:v>14448.15</x:v>
      </x:c>
      <x:c r="H32" s="28">
        <x:v>3354.93</x:v>
      </x:c>
      <x:c r="I32" s="28">
        <x:v>7080.03</x:v>
      </x:c>
      <x:c r="J32" s="28">
        <x:v>4013.19</x:v>
      </x:c>
    </x:row>
    <x:row r="33" ht="14.25" customHeight="1">
      <x:c r="A33" s="10">
        <x:v>31.0</x:v>
      </x:c>
      <x:c r="B33" s="13" t="s">
        <x:v>259</x:v>
      </x:c>
      <x:c r="C33" s="13" t="s">
        <x:v>261</x:v>
      </x:c>
      <x:c r="D33" s="13" t="s">
        <x:v>284</x:v>
      </x:c>
      <x:c r="E33" s="10">
        <x:v>451.0</x:v>
      </x:c>
      <x:c r="F33" s="28">
        <x:v>15.12</x:v>
      </x:c>
      <x:c r="G33" s="28">
        <x:v>6819.12</x:v>
      </x:c>
      <x:c r="H33" s="28">
        <x:v>613.68</x:v>
      </x:c>
      <x:c r="I33" s="28">
        <x:v>3423.09</x:v>
      </x:c>
      <x:c r="J33" s="28">
        <x:v>2782.35</x:v>
      </x:c>
    </x:row>
    <x:row r="34" ht="14.25" customHeight="1">
      <x:c r="A34" s="10">
        <x:v>32.0</x:v>
      </x:c>
      <x:c r="B34" s="13" t="s">
        <x:v>248</x:v>
      </x:c>
      <x:c r="C34" s="13" t="s">
        <x:v>244</x:v>
      </x:c>
      <x:c r="D34" s="13" t="s">
        <x:v>285</x:v>
      </x:c>
      <x:c r="E34" s="10">
        <x:v>2097.0</x:v>
      </x:c>
      <x:c r="F34" s="28">
        <x:v>10.95</x:v>
      </x:c>
      <x:c r="G34" s="28">
        <x:v>22962.15</x:v>
      </x:c>
      <x:c r="H34" s="28">
        <x:v>2641.03</x:v>
      </x:c>
      <x:c r="I34" s="28">
        <x:v>11722.23</x:v>
      </x:c>
      <x:c r="J34" s="28">
        <x:v>8598.89</x:v>
      </x:c>
    </x:row>
    <x:row r="35" ht="14.25" customHeight="1">
      <x:c r="A35" s="10">
        <x:v>33.0</x:v>
      </x:c>
      <x:c r="B35" s="13" t="s">
        <x:v>243</x:v>
      </x:c>
      <x:c r="C35" s="13" t="s">
        <x:v>261</x:v>
      </x:c>
      <x:c r="D35" s="13" t="s">
        <x:v>286</x:v>
      </x:c>
      <x:c r="E35" s="10">
        <x:v>1474.0</x:v>
      </x:c>
      <x:c r="F35" s="28">
        <x:v>15.17</x:v>
      </x:c>
      <x:c r="G35" s="28">
        <x:v>22360.58</x:v>
      </x:c>
      <x:c r="H35" s="28">
        <x:v>4183.87</x:v>
      </x:c>
      <x:c r="I35" s="28">
        <x:v>12263.68</x:v>
      </x:c>
      <x:c r="J35" s="28">
        <x:v>5913.03</x:v>
      </x:c>
    </x:row>
    <x:row r="36" ht="14.25" customHeight="1">
      <x:c r="A36" s="10">
        <x:v>34.0</x:v>
      </x:c>
      <x:c r="B36" s="13" t="s">
        <x:v>252</x:v>
      </x:c>
      <x:c r="C36" s="13" t="s">
        <x:v>261</x:v>
      </x:c>
      <x:c r="D36" s="13" t="s">
        <x:v>287</x:v>
      </x:c>
      <x:c r="E36" s="10">
        <x:v>489.0</x:v>
      </x:c>
      <x:c r="F36" s="28">
        <x:v>13.93</x:v>
      </x:c>
      <x:c r="G36" s="28">
        <x:v>6811.77</x:v>
      </x:c>
      <x:c r="H36" s="28">
        <x:v>1561.6</x:v>
      </x:c>
      <x:c r="I36" s="28">
        <x:v>3110.04</x:v>
      </x:c>
      <x:c r="J36" s="28">
        <x:v>2140.13</x:v>
      </x:c>
    </x:row>
    <x:row r="37" ht="14.25" customHeight="1">
      <x:c r="A37" s="10">
        <x:v>35.0</x:v>
      </x:c>
      <x:c r="B37" s="13" t="s">
        <x:v>252</x:v>
      </x:c>
      <x:c r="C37" s="13" t="s">
        <x:v>246</x:v>
      </x:c>
      <x:c r="D37" s="13" t="s">
        <x:v>288</x:v>
      </x:c>
      <x:c r="E37" s="10">
        <x:v>1884.0</x:v>
      </x:c>
      <x:c r="F37" s="28">
        <x:v>12.91</x:v>
      </x:c>
      <x:c r="G37" s="28">
        <x:v>24322.44</x:v>
      </x:c>
      <x:c r="H37" s="28">
        <x:v>7417.27</x:v>
      </x:c>
      <x:c r="I37" s="28">
        <x:v>13131.48</x:v>
      </x:c>
      <x:c r="J37" s="28">
        <x:v>3773.69</x:v>
      </x:c>
    </x:row>
    <x:row r="38" ht="14.25" customHeight="1">
      <x:c r="A38" s="10">
        <x:v>36.0</x:v>
      </x:c>
      <x:c r="B38" s="13" t="s">
        <x:v>243</x:v>
      </x:c>
      <x:c r="C38" s="13" t="s">
        <x:v>261</x:v>
      </x:c>
      <x:c r="D38" s="13" t="s">
        <x:v>285</x:v>
      </x:c>
      <x:c r="E38" s="10">
        <x:v>1271.0</x:v>
      </x:c>
      <x:c r="F38" s="28">
        <x:v>14.92</x:v>
      </x:c>
      <x:c r="G38" s="28">
        <x:v>18963.32</x:v>
      </x:c>
      <x:c r="H38" s="28">
        <x:v>1557.36</x:v>
      </x:c>
      <x:c r="I38" s="28">
        <x:v>8909.71</x:v>
      </x:c>
      <x:c r="J38" s="28">
        <x:v>8496.25</x:v>
      </x:c>
    </x:row>
    <x:row r="39" ht="14.25" customHeight="1">
      <x:c r="A39" s="10">
        <x:v>37.0</x:v>
      </x:c>
      <x:c r="B39" s="13" t="s">
        <x:v>243</x:v>
      </x:c>
      <x:c r="C39" s="13" t="s">
        <x:v>244</x:v>
      </x:c>
      <x:c r="D39" s="13" t="s">
        <x:v>289</x:v>
      </x:c>
      <x:c r="E39" s="10">
        <x:v>1184.0</x:v>
      </x:c>
      <x:c r="F39" s="28">
        <x:v>11.59</x:v>
      </x:c>
      <x:c r="G39" s="28">
        <x:v>13722.56</x:v>
      </x:c>
      <x:c r="H39" s="28">
        <x:v>1274.73</x:v>
      </x:c>
      <x:c r="I39" s="28">
        <x:v>7281.6</x:v>
      </x:c>
      <x:c r="J39" s="28">
        <x:v>5166.23</x:v>
      </x:c>
    </x:row>
    <x:row r="40" ht="14.25" customHeight="1">
      <x:c r="A40" s="10">
        <x:v>38.0</x:v>
      </x:c>
      <x:c r="B40" s="13" t="s">
        <x:v>265</x:v>
      </x:c>
      <x:c r="C40" s="13" t="s">
        <x:v>267</x:v>
      </x:c>
      <x:c r="D40" s="13" t="s">
        <x:v>290</x:v>
      </x:c>
      <x:c r="E40" s="10">
        <x:v>282.0</x:v>
      </x:c>
      <x:c r="F40" s="28">
        <x:v>12.37</x:v>
      </x:c>
      <x:c r="G40" s="28">
        <x:v>3488.34</x:v>
      </x:c>
      <x:c r="H40" s="28">
        <x:v>445.51</x:v>
      </x:c>
      <x:c r="I40" s="28">
        <x:v>1818.9</x:v>
      </x:c>
      <x:c r="J40" s="28">
        <x:v>1223.93</x:v>
      </x:c>
    </x:row>
    <x:row r="41" ht="14.25" customHeight="1">
      <x:c r="A41" s="10">
        <x:v>39.0</x:v>
      </x:c>
      <x:c r="B41" s="13" t="s">
        <x:v>243</x:v>
      </x:c>
      <x:c r="C41" s="13" t="s">
        <x:v>244</x:v>
      </x:c>
      <x:c r="D41" s="13" t="s">
        <x:v>291</x:v>
      </x:c>
      <x:c r="E41" s="10">
        <x:v>801.0</x:v>
      </x:c>
      <x:c r="F41" s="28">
        <x:v>11.71</x:v>
      </x:c>
      <x:c r="G41" s="28">
        <x:v>9379.71</x:v>
      </x:c>
      <x:c r="H41" s="28">
        <x:v>955.04</x:v>
      </x:c>
      <x:c r="I41" s="28">
        <x:v>4533.66</x:v>
      </x:c>
      <x:c r="J41" s="28">
        <x:v>3891.01</x:v>
      </x:c>
    </x:row>
    <x:row r="42" ht="14.25" customHeight="1">
      <x:c r="A42" s="10">
        <x:v>40.0</x:v>
      </x:c>
      <x:c r="B42" s="13" t="s">
        <x:v>265</x:v>
      </x:c>
      <x:c r="C42" s="13" t="s">
        <x:v>244</x:v>
      </x:c>
      <x:c r="D42" s="13" t="s">
        <x:v>292</x:v>
      </x:c>
      <x:c r="E42" s="10">
        <x:v>1690.0</x:v>
      </x:c>
      <x:c r="F42" s="28">
        <x:v>14.36</x:v>
      </x:c>
      <x:c r="G42" s="28">
        <x:v>24268.4</x:v>
      </x:c>
      <x:c r="H42" s="28">
        <x:v>2524.28</x:v>
      </x:c>
      <x:c r="I42" s="28">
        <x:v>13097.5</x:v>
      </x:c>
      <x:c r="J42" s="28">
        <x:v>8646.62</x:v>
      </x:c>
    </x:row>
    <x:row r="43" ht="14.25" customHeight="1">
      <x:c r="A43" s="10">
        <x:v>41.0</x:v>
      </x:c>
      <x:c r="B43" s="13" t="s">
        <x:v>243</x:v>
      </x:c>
      <x:c r="C43" s="13" t="s">
        <x:v>244</x:v>
      </x:c>
      <x:c r="D43" s="13" t="s">
        <x:v>293</x:v>
      </x:c>
      <x:c r="E43" s="10">
        <x:v>1633.0</x:v>
      </x:c>
      <x:c r="F43" s="28">
        <x:v>11.03</x:v>
      </x:c>
      <x:c r="G43" s="28">
        <x:v>18011.99</x:v>
      </x:c>
      <x:c r="H43" s="28">
        <x:v>1684.7</x:v>
      </x:c>
      <x:c r="I43" s="28">
        <x:v>9667.36</x:v>
      </x:c>
      <x:c r="J43" s="28">
        <x:v>6659.93</x:v>
      </x:c>
    </x:row>
    <x:row r="44" ht="14.25" customHeight="1">
      <x:c r="A44" s="10">
        <x:v>42.0</x:v>
      </x:c>
      <x:c r="B44" s="13" t="s">
        <x:v>252</x:v>
      </x:c>
      <x:c r="C44" s="13" t="s">
        <x:v>246</x:v>
      </x:c>
      <x:c r="D44" s="13" t="s">
        <x:v>294</x:v>
      </x:c>
      <x:c r="E44" s="10">
        <x:v>1995.0</x:v>
      </x:c>
      <x:c r="F44" s="28">
        <x:v>14.59</x:v>
      </x:c>
      <x:c r="G44" s="28">
        <x:v>29107.05</x:v>
      </x:c>
      <x:c r="H44" s="28">
        <x:v>12224.96</x:v>
      </x:c>
      <x:c r="I44" s="28">
        <x:v>12778.81</x:v>
      </x:c>
      <x:c r="J44" s="28">
        <x:v>4103.28</x:v>
      </x:c>
    </x:row>
    <x:row r="45" ht="14.25" customHeight="1">
      <x:c r="A45" s="10">
        <x:v>43.0</x:v>
      </x:c>
      <x:c r="B45" s="13" t="s">
        <x:v>243</x:v>
      </x:c>
      <x:c r="C45" s="13" t="s">
        <x:v>250</x:v>
      </x:c>
      <x:c r="D45" s="13" t="s">
        <x:v>295</x:v>
      </x:c>
      <x:c r="E45" s="10">
        <x:v>1388.0</x:v>
      </x:c>
      <x:c r="F45" s="28">
        <x:v>4.38</x:v>
      </x:c>
      <x:c r="G45" s="28">
        <x:v>6079.44</x:v>
      </x:c>
      <x:c r="H45" s="28">
        <x:v>607.76</x:v>
      </x:c>
      <x:c r="I45" s="28">
        <x:v>2831.52</x:v>
      </x:c>
      <x:c r="J45" s="28">
        <x:v>2640.16</x:v>
      </x:c>
    </x:row>
    <x:row r="46" ht="14.25" customHeight="1">
      <x:c r="A46" s="10">
        <x:v>44.0</x:v>
      </x:c>
      <x:c r="B46" s="13" t="s">
        <x:v>255</x:v>
      </x:c>
      <x:c r="C46" s="13" t="s">
        <x:v>261</x:v>
      </x:c>
      <x:c r="D46" s="13" t="s">
        <x:v>296</x:v>
      </x:c>
      <x:c r="E46" s="10">
        <x:v>1592.0</x:v>
      </x:c>
      <x:c r="F46" s="28">
        <x:v>14.27</x:v>
      </x:c>
      <x:c r="G46" s="28">
        <x:v>22717.84</x:v>
      </x:c>
      <x:c r="H46" s="28">
        <x:v>5420.96</x:v>
      </x:c>
      <x:c r="I46" s="28">
        <x:v>12083.28</x:v>
      </x:c>
      <x:c r="J46" s="28">
        <x:v>5213.6</x:v>
      </x:c>
    </x:row>
    <x:row r="47" ht="14.25" customHeight="1">
      <x:c r="A47" s="10">
        <x:v>45.0</x:v>
      </x:c>
      <x:c r="B47" s="13" t="s">
        <x:v>252</x:v>
      </x:c>
      <x:c r="C47" s="13" t="s">
        <x:v>267</x:v>
      </x:c>
      <x:c r="D47" s="13" t="s">
        <x:v>297</x:v>
      </x:c>
      <x:c r="E47" s="10">
        <x:v>725.0</x:v>
      </x:c>
      <x:c r="F47" s="28">
        <x:v>16.29</x:v>
      </x:c>
      <x:c r="G47" s="28">
        <x:v>11810.25</x:v>
      </x:c>
      <x:c r="H47" s="28">
        <x:v>3885.4</x:v>
      </x:c>
      <x:c r="I47" s="28">
        <x:v>5372.25</x:v>
      </x:c>
      <x:c r="J47" s="28">
        <x:v>2552.6</x:v>
      </x:c>
    </x:row>
    <x:row r="48" ht="14.25" customHeight="1">
      <x:c r="A48" s="10">
        <x:v>46.0</x:v>
      </x:c>
      <x:c r="B48" s="13" t="s">
        <x:v>248</x:v>
      </x:c>
      <x:c r="C48" s="13" t="s">
        <x:v>250</x:v>
      </x:c>
      <x:c r="D48" s="13" t="s">
        <x:v>298</x:v>
      </x:c>
      <x:c r="E48" s="10">
        <x:v>786.0</x:v>
      </x:c>
      <x:c r="F48" s="28">
        <x:v>6.26</x:v>
      </x:c>
      <x:c r="G48" s="28">
        <x:v>4920.36</x:v>
      </x:c>
      <x:c r="H48" s="28">
        <x:v>412.91</x:v>
      </x:c>
      <x:c r="I48" s="28">
        <x:v>2302.98</x:v>
      </x:c>
      <x:c r="J48" s="28">
        <x:v>2204.47</x:v>
      </x:c>
    </x:row>
    <x:row r="49" ht="14.25" customHeight="1">
      <x:c r="A49" s="10">
        <x:v>47.0</x:v>
      </x:c>
      <x:c r="B49" s="13" t="s">
        <x:v>255</x:v>
      </x:c>
      <x:c r="C49" s="13" t="s">
        <x:v>246</x:v>
      </x:c>
      <x:c r="D49" s="13" t="s">
        <x:v>299</x:v>
      </x:c>
      <x:c r="E49" s="10">
        <x:v>730.0</x:v>
      </x:c>
      <x:c r="F49" s="28">
        <x:v>15.37</x:v>
      </x:c>
      <x:c r="G49" s="28">
        <x:v>11220.1</x:v>
      </x:c>
      <x:c r="H49" s="28">
        <x:v>2791.5</x:v>
      </x:c>
      <x:c r="I49" s="28">
        <x:v>5854.6</x:v>
      </x:c>
      <x:c r="J49" s="28">
        <x:v>2574.0</x:v>
      </x:c>
    </x:row>
    <x:row r="50" ht="14.25" customHeight="1">
      <x:c r="A50" s="10">
        <x:v>48.0</x:v>
      </x:c>
      <x:c r="B50" s="13" t="s">
        <x:v>252</x:v>
      </x:c>
      <x:c r="C50" s="13" t="s">
        <x:v>261</x:v>
      </x:c>
      <x:c r="D50" s="13" t="s">
        <x:v>300</x:v>
      </x:c>
      <x:c r="E50" s="10">
        <x:v>1493.0</x:v>
      </x:c>
      <x:c r="F50" s="28">
        <x:v>14.96</x:v>
      </x:c>
      <x:c r="G50" s="28">
        <x:v>22335.28</x:v>
      </x:c>
      <x:c r="H50" s="28">
        <x:v>7666.34</x:v>
      </x:c>
      <x:c r="I50" s="28">
        <x:v>10077.75</x:v>
      </x:c>
      <x:c r="J50" s="28">
        <x:v>4591.19</x:v>
      </x:c>
    </x:row>
    <x:row r="51" ht="14.25" customHeight="1">
      <x:c r="A51" s="10">
        <x:v>49.0</x:v>
      </x:c>
      <x:c r="B51" s="13" t="s">
        <x:v>243</x:v>
      </x:c>
      <x:c r="C51" s="13" t="s">
        <x:v>250</x:v>
      </x:c>
      <x:c r="D51" s="13" t="s">
        <x:v>301</x:v>
      </x:c>
      <x:c r="E51" s="10">
        <x:v>1084.0</x:v>
      </x:c>
      <x:c r="F51" s="28">
        <x:v>8.47</x:v>
      </x:c>
      <x:c r="G51" s="28">
        <x:v>9181.48</x:v>
      </x:c>
      <x:c r="H51" s="28">
        <x:v>918.41</x:v>
      </x:c>
      <x:c r="I51" s="28">
        <x:v>4520.28</x:v>
      </x:c>
      <x:c r="J51" s="28">
        <x:v>3742.79</x:v>
      </x:c>
    </x:row>
    <x:row r="52" ht="14.25" customHeight="1">
      <x:c r="A52" s="10">
        <x:v>50.0</x:v>
      </x:c>
      <x:c r="B52" s="13" t="s">
        <x:v>243</x:v>
      </x:c>
      <x:c r="C52" s="13" t="s">
        <x:v>244</x:v>
      </x:c>
      <x:c r="D52" s="13" t="s">
        <x:v>302</x:v>
      </x:c>
      <x:c r="E52" s="10">
        <x:v>600.0</x:v>
      </x:c>
      <x:c r="F52" s="28">
        <x:v>14.91</x:v>
      </x:c>
      <x:c r="G52" s="28">
        <x:v>8946.0</x:v>
      </x:c>
      <x:c r="H52" s="28">
        <x:v>975.13</x:v>
      </x:c>
      <x:c r="I52" s="28">
        <x:v>4176.0</x:v>
      </x:c>
      <x:c r="J52" s="28">
        <x:v>3794.87</x:v>
      </x:c>
    </x:row>
    <x:row r="53" ht="14.25" customHeight="1">
      <x:c r="A53" s="10">
        <x:v>51.0</x:v>
      </x:c>
      <x:c r="B53" s="13" t="s">
        <x:v>248</x:v>
      </x:c>
      <x:c r="C53" s="13" t="s">
        <x:v>244</x:v>
      </x:c>
      <x:c r="D53" s="13" t="s">
        <x:v>303</x:v>
      </x:c>
      <x:c r="E53" s="10">
        <x:v>865.0</x:v>
      </x:c>
      <x:c r="F53" s="28">
        <x:v>11.04</x:v>
      </x:c>
      <x:c r="G53" s="28">
        <x:v>9549.6</x:v>
      </x:c>
      <x:c r="H53" s="28">
        <x:v>1042.6</x:v>
      </x:c>
      <x:c r="I53" s="28">
        <x:v>4800.75</x:v>
      </x:c>
      <x:c r="J53" s="28">
        <x:v>3706.25</x:v>
      </x:c>
    </x:row>
    <x:row r="54" ht="14.25" customHeight="1">
      <x:c r="A54" s="10">
        <x:v>52.0</x:v>
      </x:c>
      <x:c r="B54" s="13" t="s">
        <x:v>265</x:v>
      </x:c>
      <x:c r="C54" s="13" t="s">
        <x:v>246</x:v>
      </x:c>
      <x:c r="D54" s="13" t="s">
        <x:v>304</x:v>
      </x:c>
      <x:c r="E54" s="10">
        <x:v>1351.0</x:v>
      </x:c>
      <x:c r="F54" s="28">
        <x:v>11.09</x:v>
      </x:c>
      <x:c r="G54" s="28">
        <x:v>14982.59</x:v>
      </x:c>
      <x:c r="H54" s="28">
        <x:v>6292.69</x:v>
      </x:c>
      <x:c r="I54" s="28">
        <x:v>8653.72</x:v>
      </x:c>
      <x:c r="J54" s="28">
        <x:v>36.18</x:v>
      </x:c>
    </x:row>
    <x:row r="55" ht="14.25" customHeight="1">
      <x:c r="A55" s="10">
        <x:v>53.0</x:v>
      </x:c>
      <x:c r="B55" s="13" t="s">
        <x:v>252</x:v>
      </x:c>
      <x:c r="C55" s="13" t="s">
        <x:v>246</x:v>
      </x:c>
      <x:c r="D55" s="13" t="s">
        <x:v>305</x:v>
      </x:c>
      <x:c r="E55" s="10">
        <x:v>371.0</x:v>
      </x:c>
      <x:c r="F55" s="28">
        <x:v>13.24</x:v>
      </x:c>
      <x:c r="G55" s="28">
        <x:v>4912.04</x:v>
      </x:c>
      <x:c r="H55" s="28">
        <x:v>1428.05</x:v>
      </x:c>
      <x:c r="I55" s="28">
        <x:v>2597.0</x:v>
      </x:c>
      <x:c r="J55" s="28">
        <x:v>886.99</x:v>
      </x:c>
    </x:row>
    <x:row r="56" ht="14.25" customHeight="1">
      <x:c r="A56" s="10">
        <x:v>54.0</x:v>
      </x:c>
      <x:c r="B56" s="13" t="s">
        <x:v>243</x:v>
      </x:c>
      <x:c r="C56" s="13" t="s">
        <x:v>250</x:v>
      </x:c>
      <x:c r="D56" s="13" t="s">
        <x:v>306</x:v>
      </x:c>
      <x:c r="E56" s="10">
        <x:v>1108.0</x:v>
      </x:c>
      <x:c r="F56" s="28">
        <x:v>6.4</x:v>
      </x:c>
      <x:c r="G56" s="28">
        <x:v>7091.2</x:v>
      </x:c>
      <x:c r="H56" s="28">
        <x:v>807.88</x:v>
      </x:c>
      <x:c r="I56" s="28">
        <x:v>3423.72</x:v>
      </x:c>
      <x:c r="J56" s="28">
        <x:v>2859.6</x:v>
      </x:c>
    </x:row>
    <x:row r="57" ht="14.25" customHeight="1">
      <x:c r="A57" s="10">
        <x:v>55.0</x:v>
      </x:c>
      <x:c r="B57" s="13" t="s">
        <x:v>259</x:v>
      </x:c>
      <x:c r="C57" s="13" t="s">
        <x:v>261</x:v>
      </x:c>
      <x:c r="D57" s="13" t="s">
        <x:v>307</x:v>
      </x:c>
      <x:c r="E57" s="10">
        <x:v>1522.0</x:v>
      </x:c>
      <x:c r="F57" s="28">
        <x:v>15.54</x:v>
      </x:c>
      <x:c r="G57" s="28">
        <x:v>23651.88</x:v>
      </x:c>
      <x:c r="H57" s="28">
        <x:v>3330.19</x:v>
      </x:c>
      <x:c r="I57" s="28">
        <x:v>12145.56</x:v>
      </x:c>
      <x:c r="J57" s="28">
        <x:v>8176.13</x:v>
      </x:c>
    </x:row>
    <x:row r="58" ht="14.25" customHeight="1">
      <x:c r="A58" s="10">
        <x:v>56.0</x:v>
      </x:c>
      <x:c r="B58" s="13" t="s">
        <x:v>252</x:v>
      </x:c>
      <x:c r="C58" s="13" t="s">
        <x:v>244</x:v>
      </x:c>
      <x:c r="D58" s="13" t="s">
        <x:v>308</x:v>
      </x:c>
      <x:c r="E58" s="10">
        <x:v>929.0</x:v>
      </x:c>
      <x:c r="F58" s="28">
        <x:v>12.94</x:v>
      </x:c>
      <x:c r="G58" s="28">
        <x:v>12021.26</x:v>
      </x:c>
      <x:c r="H58" s="28">
        <x:v>3876.42</x:v>
      </x:c>
      <x:c r="I58" s="28">
        <x:v>6605.19</x:v>
      </x:c>
      <x:c r="J58" s="28">
        <x:v>1539.65</x:v>
      </x:c>
    </x:row>
    <x:row r="59" ht="14.25" customHeight="1">
      <x:c r="A59" s="10">
        <x:v>57.0</x:v>
      </x:c>
      <x:c r="B59" s="13" t="s">
        <x:v>259</x:v>
      </x:c>
      <x:c r="C59" s="13" t="s">
        <x:v>261</x:v>
      </x:c>
      <x:c r="D59" s="13" t="s">
        <x:v>309</x:v>
      </x:c>
      <x:c r="E59" s="10">
        <x:v>780.0</x:v>
      </x:c>
      <x:c r="F59" s="28">
        <x:v>16.27</x:v>
      </x:c>
      <x:c r="G59" s="28">
        <x:v>12690.6</x:v>
      </x:c>
      <x:c r="H59" s="28">
        <x:v>1793.05</x:v>
      </x:c>
      <x:c r="I59" s="28">
        <x:v>6692.4</x:v>
      </x:c>
      <x:c r="J59" s="28">
        <x:v>4205.15</x:v>
      </x:c>
    </x:row>
    <x:row r="60" ht="14.25" customHeight="1">
      <x:c r="A60" s="10">
        <x:v>58.0</x:v>
      </x:c>
      <x:c r="B60" s="13" t="s">
        <x:v>265</x:v>
      </x:c>
      <x:c r="C60" s="13" t="s">
        <x:v>244</x:v>
      </x:c>
      <x:c r="D60" s="13" t="s">
        <x:v>310</x:v>
      </x:c>
      <x:c r="E60" s="10">
        <x:v>1331.0</x:v>
      </x:c>
      <x:c r="F60" s="28">
        <x:v>13.25</x:v>
      </x:c>
      <x:c r="G60" s="28">
        <x:v>17635.75</x:v>
      </x:c>
      <x:c r="H60" s="28">
        <x:v>1886.0</x:v>
      </x:c>
      <x:c r="I60" s="28">
        <x:v>8584.95</x:v>
      </x:c>
      <x:c r="J60" s="28">
        <x:v>7164.8</x:v>
      </x:c>
    </x:row>
    <x:row r="61" ht="14.25" customHeight="1">
      <x:c r="A61" s="10">
        <x:v>59.0</x:v>
      </x:c>
      <x:c r="B61" s="13" t="s">
        <x:v>248</x:v>
      </x:c>
      <x:c r="C61" s="13" t="s">
        <x:v>244</x:v>
      </x:c>
      <x:c r="D61" s="13" t="s">
        <x:v>311</x:v>
      </x:c>
      <x:c r="E61" s="10">
        <x:v>1924.0</x:v>
      </x:c>
      <x:c r="F61" s="28">
        <x:v>13.33</x:v>
      </x:c>
      <x:c r="G61" s="28">
        <x:v>25646.92</x:v>
      </x:c>
      <x:c r="H61" s="28">
        <x:v>2187.48</x:v>
      </x:c>
      <x:c r="I61" s="28">
        <x:v>12486.76</x:v>
      </x:c>
      <x:c r="J61" s="28">
        <x:v>10972.68</x:v>
      </x:c>
    </x:row>
    <x:row r="62" ht="14.25" customHeight="1">
      <x:c r="A62" s="10">
        <x:v>60.0</x:v>
      </x:c>
      <x:c r="B62" s="13" t="s">
        <x:v>255</x:v>
      </x:c>
      <x:c r="C62" s="13" t="s">
        <x:v>246</x:v>
      </x:c>
      <x:c r="D62" s="13" t="s">
        <x:v>312</x:v>
      </x:c>
      <x:c r="E62" s="10">
        <x:v>1397.0</x:v>
      </x:c>
      <x:c r="F62" s="28">
        <x:v>13.93</x:v>
      </x:c>
      <x:c r="G62" s="28">
        <x:v>19460.21</x:v>
      </x:c>
      <x:c r="H62" s="28">
        <x:v>4291.13</x:v>
      </x:c>
      <x:c r="I62" s="28">
        <x:v>9345.93</x:v>
      </x:c>
      <x:c r="J62" s="28">
        <x:v>5823.15</x:v>
      </x:c>
    </x:row>
    <x:row r="63" ht="14.25" customHeight="1">
      <x:c r="A63" s="10">
        <x:v>61.0</x:v>
      </x:c>
      <x:c r="B63" s="13" t="s">
        <x:v>243</x:v>
      </x:c>
      <x:c r="C63" s="13" t="s">
        <x:v>250</x:v>
      </x:c>
      <x:c r="D63" s="13" t="s">
        <x:v>313</x:v>
      </x:c>
      <x:c r="E63" s="10">
        <x:v>67.0</x:v>
      </x:c>
      <x:c r="F63" s="28">
        <x:v>8.18</x:v>
      </x:c>
      <x:c r="G63" s="28">
        <x:v>548.06</x:v>
      </x:c>
      <x:c r="H63" s="28">
        <x:v>80.2</x:v>
      </x:c>
      <x:c r="I63" s="28">
        <x:v>276.71</x:v>
      </x:c>
      <x:c r="J63" s="28">
        <x:v>191.15</x:v>
      </x:c>
    </x:row>
    <x:row r="64" ht="14.25" customHeight="1">
      <x:c r="A64" s="10">
        <x:v>62.0</x:v>
      </x:c>
      <x:c r="B64" s="13" t="s">
        <x:v>248</x:v>
      </x:c>
      <x:c r="C64" s="13" t="s">
        <x:v>261</x:v>
      </x:c>
      <x:c r="D64" s="13" t="s">
        <x:v>251</x:v>
      </x:c>
      <x:c r="E64" s="10">
        <x:v>527.0</x:v>
      </x:c>
      <x:c r="F64" s="28">
        <x:v>14.94</x:v>
      </x:c>
      <x:c r="G64" s="28">
        <x:v>7873.38</x:v>
      </x:c>
      <x:c r="H64" s="28">
        <x:v>1291.88</x:v>
      </x:c>
      <x:c r="I64" s="28">
        <x:v>4242.35</x:v>
      </x:c>
      <x:c r="J64" s="28">
        <x:v>2339.15</x:v>
      </x:c>
    </x:row>
    <x:row r="65" ht="14.25" customHeight="1">
      <x:c r="A65" s="10">
        <x:v>63.0</x:v>
      </x:c>
      <x:c r="B65" s="13" t="s">
        <x:v>255</x:v>
      </x:c>
      <x:c r="C65" s="13" t="s">
        <x:v>267</x:v>
      </x:c>
      <x:c r="D65" s="13" t="s">
        <x:v>314</x:v>
      </x:c>
      <x:c r="E65" s="10">
        <x:v>1910.0</x:v>
      </x:c>
      <x:c r="F65" s="28">
        <x:v>17.8</x:v>
      </x:c>
      <x:c r="G65" s="28">
        <x:v>33998.0</x:v>
      </x:c>
      <x:c r="H65" s="28">
        <x:v>8522.36</x:v>
      </x:c>
      <x:c r="I65" s="28">
        <x:v>18011.3</x:v>
      </x:c>
      <x:c r="J65" s="28">
        <x:v>7464.34</x:v>
      </x:c>
    </x:row>
    <x:row r="66" ht="14.25" customHeight="1">
      <x:c r="A66" s="10">
        <x:v>64.0</x:v>
      </x:c>
      <x:c r="B66" s="13" t="s">
        <x:v>248</x:v>
      </x:c>
      <x:c r="C66" s="13" t="s">
        <x:v>267</x:v>
      </x:c>
      <x:c r="D66" s="13" t="s">
        <x:v>315</x:v>
      </x:c>
      <x:c r="E66" s="10">
        <x:v>485.0</x:v>
      </x:c>
      <x:c r="F66" s="28">
        <x:v>16.57</x:v>
      </x:c>
      <x:c r="G66" s="28">
        <x:v>8036.45</x:v>
      </x:c>
      <x:c r="H66" s="28">
        <x:v>872.32</x:v>
      </x:c>
      <x:c r="I66" s="28">
        <x:v>3977.0</x:v>
      </x:c>
      <x:c r="J66" s="28">
        <x:v>3187.13</x:v>
      </x:c>
    </x:row>
    <x:row r="67" ht="14.25" customHeight="1">
      <x:c r="A67" s="10">
        <x:v>65.0</x:v>
      </x:c>
      <x:c r="B67" s="13" t="s">
        <x:v>248</x:v>
      </x:c>
      <x:c r="C67" s="13" t="s">
        <x:v>261</x:v>
      </x:c>
      <x:c r="D67" s="13" t="s">
        <x:v>316</x:v>
      </x:c>
      <x:c r="E67" s="10">
        <x:v>1023.0</x:v>
      </x:c>
      <x:c r="F67" s="28">
        <x:v>14.3</x:v>
      </x:c>
      <x:c r="G67" s="28">
        <x:v>14628.9</x:v>
      </x:c>
      <x:c r="H67" s="28">
        <x:v>1964.34</x:v>
      </x:c>
      <x:c r="I67" s="28">
        <x:v>7365.6</x:v>
      </x:c>
      <x:c r="J67" s="28">
        <x:v>5298.96</x:v>
      </x:c>
    </x:row>
    <x:row r="68" ht="14.25" customHeight="1">
      <x:c r="A68" s="10">
        <x:v>66.0</x:v>
      </x:c>
      <x:c r="B68" s="13" t="s">
        <x:v>265</x:v>
      </x:c>
      <x:c r="C68" s="13" t="s">
        <x:v>267</x:v>
      </x:c>
      <x:c r="D68" s="13" t="s">
        <x:v>317</x:v>
      </x:c>
      <x:c r="E68" s="10">
        <x:v>1479.0</x:v>
      </x:c>
      <x:c r="F68" s="28">
        <x:v>15.04</x:v>
      </x:c>
      <x:c r="G68" s="28">
        <x:v>22244.16</x:v>
      </x:c>
      <x:c r="H68" s="28">
        <x:v>2677.78</x:v>
      </x:c>
      <x:c r="I68" s="28">
        <x:v>12083.43</x:v>
      </x:c>
      <x:c r="J68" s="28">
        <x:v>7482.95</x:v>
      </x:c>
    </x:row>
    <x:row r="69" ht="14.25" customHeight="1">
      <x:c r="A69" s="10">
        <x:v>67.0</x:v>
      </x:c>
      <x:c r="B69" s="13" t="s">
        <x:v>252</x:v>
      </x:c>
      <x:c r="C69" s="13" t="s">
        <x:v>267</x:v>
      </x:c>
      <x:c r="D69" s="13" t="s">
        <x:v>318</x:v>
      </x:c>
      <x:c r="E69" s="10">
        <x:v>60.0</x:v>
      </x:c>
      <x:c r="F69" s="28">
        <x:v>18.46</x:v>
      </x:c>
      <x:c r="G69" s="28">
        <x:v>1107.6</x:v>
      </x:c>
      <x:c r="H69" s="28">
        <x:v>366.24</x:v>
      </x:c>
      <x:c r="I69" s="28">
        <x:v>506.4</x:v>
      </x:c>
      <x:c r="J69" s="28">
        <x:v>234.96</x:v>
      </x:c>
    </x:row>
    <x:row r="70" ht="14.25" customHeight="1">
      <x:c r="A70" s="10">
        <x:v>68.0</x:v>
      </x:c>
      <x:c r="B70" s="13" t="s">
        <x:v>265</x:v>
      </x:c>
      <x:c r="C70" s="13" t="s">
        <x:v>250</x:v>
      </x:c>
      <x:c r="D70" s="13" t="s">
        <x:v>319</x:v>
      </x:c>
      <x:c r="E70" s="10">
        <x:v>835.0</x:v>
      </x:c>
      <x:c r="F70" s="28">
        <x:v>5.71</x:v>
      </x:c>
      <x:c r="G70" s="28">
        <x:v>4767.85</x:v>
      </x:c>
      <x:c r="H70" s="28">
        <x:v>692.74</x:v>
      </x:c>
      <x:c r="I70" s="28">
        <x:v>2613.55</x:v>
      </x:c>
      <x:c r="J70" s="28">
        <x:v>1461.56</x:v>
      </x:c>
    </x:row>
    <x:row r="71" ht="14.25" customHeight="1">
      <x:c r="A71" s="10">
        <x:v>69.0</x:v>
      </x:c>
      <x:c r="B71" s="13" t="s">
        <x:v>252</x:v>
      </x:c>
      <x:c r="C71" s="13" t="s">
        <x:v>261</x:v>
      </x:c>
      <x:c r="D71" s="13" t="s">
        <x:v>320</x:v>
      </x:c>
      <x:c r="E71" s="10">
        <x:v>1770.0</x:v>
      </x:c>
      <x:c r="F71" s="28">
        <x:v>14.25</x:v>
      </x:c>
      <x:c r="G71" s="28">
        <x:v>25222.5</x:v>
      </x:c>
      <x:c r="H71" s="28">
        <x:v>8086.76</x:v>
      </x:c>
      <x:c r="I71" s="28">
        <x:v>11575.8</x:v>
      </x:c>
      <x:c r="J71" s="28">
        <x:v>5559.94</x:v>
      </x:c>
    </x:row>
    <x:row r="72" ht="14.25" customHeight="1">
      <x:c r="A72" s="10">
        <x:v>70.0</x:v>
      </x:c>
      <x:c r="B72" s="13" t="s">
        <x:v>255</x:v>
      </x:c>
      <x:c r="C72" s="13" t="s">
        <x:v>244</x:v>
      </x:c>
      <x:c r="D72" s="13" t="s">
        <x:v>321</x:v>
      </x:c>
      <x:c r="E72" s="10">
        <x:v>893.0</x:v>
      </x:c>
      <x:c r="F72" s="28">
        <x:v>11.75</x:v>
      </x:c>
      <x:c r="G72" s="28">
        <x:v>10492.75</x:v>
      </x:c>
      <x:c r="H72" s="28">
        <x:v>1885.54</x:v>
      </x:c>
      <x:c r="I72" s="28">
        <x:v>4938.29</x:v>
      </x:c>
      <x:c r="J72" s="28">
        <x:v>3668.92</x:v>
      </x:c>
    </x:row>
    <x:row r="73" ht="14.25" customHeight="1">
      <x:c r="A73" s="10">
        <x:v>71.0</x:v>
      </x:c>
      <x:c r="B73" s="13" t="s">
        <x:v>248</x:v>
      </x:c>
      <x:c r="C73" s="13" t="s">
        <x:v>246</x:v>
      </x:c>
      <x:c r="D73" s="13" t="s">
        <x:v>322</x:v>
      </x:c>
      <x:c r="E73" s="10">
        <x:v>1296.0</x:v>
      </x:c>
      <x:c r="F73" s="28">
        <x:v>12.47</x:v>
      </x:c>
      <x:c r="G73" s="28">
        <x:v>16161.12</x:v>
      </x:c>
      <x:c r="H73" s="28">
        <x:v>6787.67</x:v>
      </x:c>
      <x:c r="I73" s="28">
        <x:v>8301.42</x:v>
      </x:c>
      <x:c r="J73" s="28">
        <x:v>1072.03</x:v>
      </x:c>
    </x:row>
    <x:row r="74" ht="14.25" customHeight="1">
      <x:c r="A74" s="10">
        <x:v>72.0</x:v>
      </x:c>
      <x:c r="B74" s="13" t="s">
        <x:v>248</x:v>
      </x:c>
      <x:c r="C74" s="13" t="s">
        <x:v>244</x:v>
      </x:c>
      <x:c r="D74" s="13" t="s">
        <x:v>323</x:v>
      </x:c>
      <x:c r="E74" s="10">
        <x:v>1302.0</x:v>
      </x:c>
      <x:c r="F74" s="28">
        <x:v>12.34</x:v>
      </x:c>
      <x:c r="G74" s="28">
        <x:v>16066.68</x:v>
      </x:c>
      <x:c r="H74" s="28">
        <x:v>1864.45</x:v>
      </x:c>
      <x:c r="I74" s="28">
        <x:v>8762.46</x:v>
      </x:c>
      <x:c r="J74" s="28">
        <x:v>5439.77</x:v>
      </x:c>
    </x:row>
    <x:row r="75" ht="14.25" customHeight="1">
      <x:c r="A75" s="10">
        <x:v>73.0</x:v>
      </x:c>
      <x:c r="B75" s="13" t="s">
        <x:v>243</x:v>
      </x:c>
      <x:c r="C75" s="13" t="s">
        <x:v>250</x:v>
      </x:c>
      <x:c r="D75" s="13" t="s">
        <x:v>324</x:v>
      </x:c>
      <x:c r="E75" s="10">
        <x:v>234.0</x:v>
      </x:c>
      <x:c r="F75" s="28">
        <x:v>6.53</x:v>
      </x:c>
      <x:c r="G75" s="28">
        <x:v>1528.02</x:v>
      </x:c>
      <x:c r="H75" s="28">
        <x:v>153.34</x:v>
      </x:c>
      <x:c r="I75" s="28">
        <x:v>769.86</x:v>
      </x:c>
      <x:c r="J75" s="28">
        <x:v>604.82</x:v>
      </x:c>
    </x:row>
    <x:row r="76" ht="14.25" customHeight="1">
      <x:c r="A76" s="10">
        <x:v>74.0</x:v>
      </x:c>
      <x:c r="B76" s="13" t="s">
        <x:v>259</x:v>
      </x:c>
      <x:c r="C76" s="13" t="s">
        <x:v>261</x:v>
      </x:c>
      <x:c r="D76" s="13" t="s">
        <x:v>275</x:v>
      </x:c>
      <x:c r="E76" s="10">
        <x:v>860.0</x:v>
      </x:c>
      <x:c r="F76" s="28">
        <x:v>13.53</x:v>
      </x:c>
      <x:c r="G76" s="28">
        <x:v>11635.8</x:v>
      </x:c>
      <x:c r="H76" s="28">
        <x:v>1003.11</x:v>
      </x:c>
      <x:c r="I76" s="28">
        <x:v>6321.0</x:v>
      </x:c>
      <x:c r="J76" s="28">
        <x:v>4311.69</x:v>
      </x:c>
    </x:row>
    <x:row r="77" ht="14.25" customHeight="1">
      <x:c r="A77" s="10">
        <x:v>75.0</x:v>
      </x:c>
      <x:c r="B77" s="13" t="s">
        <x:v>252</x:v>
      </x:c>
      <x:c r="C77" s="13" t="s">
        <x:v>267</x:v>
      </x:c>
      <x:c r="D77" s="13" t="s">
        <x:v>325</x:v>
      </x:c>
      <x:c r="E77" s="10">
        <x:v>833.0</x:v>
      </x:c>
      <x:c r="F77" s="28">
        <x:v>15.1</x:v>
      </x:c>
      <x:c r="G77" s="28">
        <x:v>12578.3</x:v>
      </x:c>
      <x:c r="H77" s="28">
        <x:v>3727.71</x:v>
      </x:c>
      <x:c r="I77" s="28">
        <x:v>6847.26</x:v>
      </x:c>
      <x:c r="J77" s="28">
        <x:v>2003.33</x:v>
      </x:c>
    </x:row>
    <x:row r="78" ht="14.25" customHeight="1">
      <x:c r="A78" s="10">
        <x:v>76.0</x:v>
      </x:c>
      <x:c r="B78" s="13" t="s">
        <x:v>265</x:v>
      </x:c>
      <x:c r="C78" s="13" t="s">
        <x:v>261</x:v>
      </x:c>
      <x:c r="D78" s="13" t="s">
        <x:v>326</x:v>
      </x:c>
      <x:c r="E78" s="10">
        <x:v>756.0</x:v>
      </x:c>
      <x:c r="F78" s="28">
        <x:v>14.36</x:v>
      </x:c>
      <x:c r="G78" s="28">
        <x:v>10856.16</x:v>
      </x:c>
      <x:c r="H78" s="28">
        <x:v>1222.74</x:v>
      </x:c>
      <x:c r="I78" s="28">
        <x:v>5027.4</x:v>
      </x:c>
      <x:c r="J78" s="28">
        <x:v>4606.02</x:v>
      </x:c>
    </x:row>
    <x:row r="79" ht="14.25" customHeight="1">
      <x:c r="A79" s="10">
        <x:v>77.0</x:v>
      </x:c>
      <x:c r="B79" s="13" t="s">
        <x:v>252</x:v>
      </x:c>
      <x:c r="C79" s="13" t="s">
        <x:v>250</x:v>
      </x:c>
      <x:c r="D79" s="13" t="s">
        <x:v>292</x:v>
      </x:c>
      <x:c r="E79" s="10">
        <x:v>1211.0</x:v>
      </x:c>
      <x:c r="F79" s="28">
        <x:v>7.88</x:v>
      </x:c>
      <x:c r="G79" s="28">
        <x:v>9542.68</x:v>
      </x:c>
      <x:c r="H79" s="28">
        <x:v>2324.72</x:v>
      </x:c>
      <x:c r="I79" s="28">
        <x:v>4359.6</x:v>
      </x:c>
      <x:c r="J79" s="28">
        <x:v>2858.36</x:v>
      </x:c>
    </x:row>
    <x:row r="80" ht="14.25" customHeight="1">
      <x:c r="A80" s="10">
        <x:v>78.0</x:v>
      </x:c>
      <x:c r="B80" s="13" t="s">
        <x:v>248</x:v>
      </x:c>
      <x:c r="C80" s="13" t="s">
        <x:v>246</x:v>
      </x:c>
      <x:c r="D80" s="13" t="s">
        <x:v>327</x:v>
      </x:c>
      <x:c r="E80" s="10">
        <x:v>678.0</x:v>
      </x:c>
      <x:c r="F80" s="28">
        <x:v>13.19</x:v>
      </x:c>
      <x:c r="G80" s="28">
        <x:v>8942.82</x:v>
      </x:c>
      <x:c r="H80" s="28">
        <x:v>928.27</x:v>
      </x:c>
      <x:c r="I80" s="28">
        <x:v>4379.88</x:v>
      </x:c>
      <x:c r="J80" s="28">
        <x:v>3634.67</x:v>
      </x:c>
    </x:row>
    <x:row r="81" ht="14.25" customHeight="1">
      <x:c r="A81" s="10">
        <x:v>79.0</x:v>
      </x:c>
      <x:c r="B81" s="13" t="s">
        <x:v>252</x:v>
      </x:c>
      <x:c r="C81" s="13" t="s">
        <x:v>244</x:v>
      </x:c>
      <x:c r="D81" s="13" t="s">
        <x:v>328</x:v>
      </x:c>
      <x:c r="E81" s="10">
        <x:v>982.0</x:v>
      </x:c>
      <x:c r="F81" s="28">
        <x:v>9.47</x:v>
      </x:c>
      <x:c r="G81" s="28">
        <x:v>9299.54</x:v>
      </x:c>
      <x:c r="H81" s="28">
        <x:v>2470.25</x:v>
      </x:c>
      <x:c r="I81" s="28">
        <x:v>4762.7</x:v>
      </x:c>
      <x:c r="J81" s="28">
        <x:v>2066.59</x:v>
      </x:c>
    </x:row>
    <x:row r="82" ht="14.25" customHeight="1">
      <x:c r="A82" s="10">
        <x:v>80.0</x:v>
      </x:c>
      <x:c r="B82" s="13" t="s">
        <x:v>252</x:v>
      </x:c>
      <x:c r="C82" s="13" t="s">
        <x:v>250</x:v>
      </x:c>
      <x:c r="D82" s="13" t="s">
        <x:v>329</x:v>
      </x:c>
      <x:c r="E82" s="10">
        <x:v>1237.0</x:v>
      </x:c>
      <x:c r="F82" s="28">
        <x:v>9.02</x:v>
      </x:c>
      <x:c r="G82" s="28">
        <x:v>11157.74</x:v>
      </x:c>
      <x:c r="H82" s="28">
        <x:v>3649.74</x:v>
      </x:c>
      <x:c r="I82" s="28">
        <x:v>6098.41</x:v>
      </x:c>
      <x:c r="J82" s="28">
        <x:v>1409.59</x:v>
      </x:c>
    </x:row>
    <x:row r="83" ht="14.25" customHeight="1">
      <x:c r="A83" s="10">
        <x:v>81.0</x:v>
      </x:c>
      <x:c r="B83" s="13" t="s">
        <x:v>248</x:v>
      </x:c>
      <x:c r="C83" s="13" t="s">
        <x:v>246</x:v>
      </x:c>
      <x:c r="D83" s="13" t="s">
        <x:v>330</x:v>
      </x:c>
      <x:c r="E83" s="10">
        <x:v>1055.0</x:v>
      </x:c>
      <x:c r="F83" s="28">
        <x:v>12.77</x:v>
      </x:c>
      <x:c r="G83" s="28">
        <x:v>13472.35</x:v>
      </x:c>
      <x:c r="H83" s="28">
        <x:v>2186.54</x:v>
      </x:c>
      <x:c r="I83" s="28">
        <x:v>6393.3</x:v>
      </x:c>
      <x:c r="J83" s="28">
        <x:v>4892.51</x:v>
      </x:c>
    </x:row>
    <x:row r="84" ht="14.25" customHeight="1">
      <x:c r="A84" s="10">
        <x:v>82.0</x:v>
      </x:c>
      <x:c r="B84" s="13" t="s">
        <x:v>252</x:v>
      </x:c>
      <x:c r="C84" s="13" t="s">
        <x:v>261</x:v>
      </x:c>
      <x:c r="D84" s="13" t="s">
        <x:v>331</x:v>
      </x:c>
      <x:c r="E84" s="10">
        <x:v>873.0</x:v>
      </x:c>
      <x:c r="F84" s="28">
        <x:v>17.56</x:v>
      </x:c>
      <x:c r="G84" s="28">
        <x:v>15329.88</x:v>
      </x:c>
      <x:c r="H84" s="28">
        <x:v>5258.68</x:v>
      </x:c>
      <x:c r="I84" s="28">
        <x:v>7228.44</x:v>
      </x:c>
      <x:c r="J84" s="28">
        <x:v>2842.76</x:v>
      </x:c>
    </x:row>
    <x:row r="85" ht="14.25" customHeight="1">
      <x:c r="A85" s="10">
        <x:v>83.0</x:v>
      </x:c>
      <x:c r="B85" s="13" t="s">
        <x:v>252</x:v>
      </x:c>
      <x:c r="C85" s="13" t="s">
        <x:v>244</x:v>
      </x:c>
      <x:c r="D85" s="13" t="s">
        <x:v>332</x:v>
      </x:c>
      <x:c r="E85" s="10">
        <x:v>322.0</x:v>
      </x:c>
      <x:c r="F85" s="28">
        <x:v>9.76</x:v>
      </x:c>
      <x:c r="G85" s="28">
        <x:v>3142.72</x:v>
      </x:c>
      <x:c r="H85" s="28">
        <x:v>865.04</x:v>
      </x:c>
      <x:c r="I85" s="28">
        <x:v>1465.1</x:v>
      </x:c>
      <x:c r="J85" s="28">
        <x:v>812.58</x:v>
      </x:c>
    </x:row>
    <x:row r="86" ht="14.25" customHeight="1">
      <x:c r="A86" s="10">
        <x:v>84.0</x:v>
      </x:c>
      <x:c r="B86" s="13" t="s">
        <x:v>259</x:v>
      </x:c>
      <x:c r="C86" s="13" t="s">
        <x:v>246</x:v>
      </x:c>
      <x:c r="D86" s="13" t="s">
        <x:v>333</x:v>
      </x:c>
      <x:c r="E86" s="10">
        <x:v>1005.0</x:v>
      </x:c>
      <x:c r="F86" s="28">
        <x:v>13.01</x:v>
      </x:c>
      <x:c r="G86" s="28">
        <x:v>13075.05</x:v>
      </x:c>
      <x:c r="H86" s="28">
        <x:v>1296.68</x:v>
      </x:c>
      <x:c r="I86" s="28">
        <x:v>6452.1</x:v>
      </x:c>
      <x:c r="J86" s="28">
        <x:v>5326.27</x:v>
      </x:c>
    </x:row>
    <x:row r="87" ht="14.25" customHeight="1">
      <x:c r="A87" s="10">
        <x:v>85.0</x:v>
      </x:c>
      <x:c r="B87" s="13" t="s">
        <x:v>243</x:v>
      </x:c>
      <x:c r="C87" s="13" t="s">
        <x:v>250</x:v>
      </x:c>
      <x:c r="D87" s="13" t="s">
        <x:v>334</x:v>
      </x:c>
      <x:c r="E87" s="10">
        <x:v>1945.0</x:v>
      </x:c>
      <x:c r="F87" s="28">
        <x:v>7.73</x:v>
      </x:c>
      <x:c r="G87" s="28">
        <x:v>15034.85</x:v>
      </x:c>
      <x:c r="H87" s="28">
        <x:v>2710.1</x:v>
      </x:c>
      <x:c r="I87" s="28">
        <x:v>8071.75</x:v>
      </x:c>
      <x:c r="J87" s="28">
        <x:v>4253.0</x:v>
      </x:c>
    </x:row>
    <x:row r="88" ht="14.25" customHeight="1">
      <x:c r="A88" s="10">
        <x:v>86.0</x:v>
      </x:c>
      <x:c r="B88" s="13" t="s">
        <x:v>248</x:v>
      </x:c>
      <x:c r="C88" s="13" t="s">
        <x:v>246</x:v>
      </x:c>
      <x:c r="D88" s="13" t="s">
        <x:v>335</x:v>
      </x:c>
      <x:c r="E88" s="10">
        <x:v>1313.0</x:v>
      </x:c>
      <x:c r="F88" s="28">
        <x:v>13.87</x:v>
      </x:c>
      <x:c r="G88" s="28">
        <x:v>18211.31</x:v>
      </x:c>
      <x:c r="H88" s="28">
        <x:v>923.79</x:v>
      </x:c>
      <x:c r="I88" s="28">
        <x:v>8665.8</x:v>
      </x:c>
      <x:c r="J88" s="28">
        <x:v>8621.72</x:v>
      </x:c>
    </x:row>
    <x:row r="89" ht="14.25" customHeight="1">
      <x:c r="A89" s="10">
        <x:v>87.0</x:v>
      </x:c>
      <x:c r="B89" s="13" t="s">
        <x:v>248</x:v>
      </x:c>
      <x:c r="C89" s="13" t="s">
        <x:v>261</x:v>
      </x:c>
      <x:c r="D89" s="13" t="s">
        <x:v>336</x:v>
      </x:c>
      <x:c r="E89" s="10">
        <x:v>1216.0</x:v>
      </x:c>
      <x:c r="F89" s="28">
        <x:v>14.25</x:v>
      </x:c>
      <x:c r="G89" s="28">
        <x:v>17328.0</x:v>
      </x:c>
      <x:c r="H89" s="28">
        <x:v>1662.82</x:v>
      </x:c>
      <x:c r="I89" s="28">
        <x:v>7843.2</x:v>
      </x:c>
      <x:c r="J89" s="28">
        <x:v>7821.98</x:v>
      </x:c>
    </x:row>
    <x:row r="90" ht="14.25" customHeight="1">
      <x:c r="A90" s="10">
        <x:v>88.0</x:v>
      </x:c>
      <x:c r="B90" s="13" t="s">
        <x:v>248</x:v>
      </x:c>
      <x:c r="C90" s="13" t="s">
        <x:v>244</x:v>
      </x:c>
      <x:c r="D90" s="13" t="s">
        <x:v>337</x:v>
      </x:c>
      <x:c r="E90" s="10">
        <x:v>947.0</x:v>
      </x:c>
      <x:c r="F90" s="28">
        <x:v>11.21</x:v>
      </x:c>
      <x:c r="G90" s="28">
        <x:v>10615.87</x:v>
      </x:c>
      <x:c r="H90" s="28">
        <x:v>1199.57</x:v>
      </x:c>
      <x:c r="I90" s="28">
        <x:v>5738.82</x:v>
      </x:c>
      <x:c r="J90" s="28">
        <x:v>3677.48</x:v>
      </x:c>
    </x:row>
    <x:row r="91" ht="14.25" customHeight="1">
      <x:c r="A91" s="10">
        <x:v>89.0</x:v>
      </x:c>
      <x:c r="B91" s="13" t="s">
        <x:v>248</x:v>
      </x:c>
      <x:c r="C91" s="13" t="s">
        <x:v>267</x:v>
      </x:c>
      <x:c r="D91" s="13" t="s">
        <x:v>338</x:v>
      </x:c>
      <x:c r="E91" s="10">
        <x:v>665.0</x:v>
      </x:c>
      <x:c r="F91" s="28">
        <x:v>14.62</x:v>
      </x:c>
      <x:c r="G91" s="28">
        <x:v>9722.3</x:v>
      </x:c>
      <x:c r="H91" s="28">
        <x:v>955.66</x:v>
      </x:c>
      <x:c r="I91" s="28">
        <x:v>5173.7</x:v>
      </x:c>
      <x:c r="J91" s="28">
        <x:v>3592.94</x:v>
      </x:c>
    </x:row>
    <x:row r="92" ht="14.25" customHeight="1">
      <x:c r="A92" s="10">
        <x:v>90.0</x:v>
      </x:c>
      <x:c r="B92" s="13" t="s">
        <x:v>252</x:v>
      </x:c>
      <x:c r="C92" s="13" t="s">
        <x:v>250</x:v>
      </x:c>
      <x:c r="D92" s="13" t="s">
        <x:v>339</x:v>
      </x:c>
      <x:c r="E92" s="10">
        <x:v>60.0</x:v>
      </x:c>
      <x:c r="F92" s="28">
        <x:v>8.12</x:v>
      </x:c>
      <x:c r="G92" s="28">
        <x:v>487.2</x:v>
      </x:c>
      <x:c r="H92" s="28">
        <x:v>159.56</x:v>
      </x:c>
      <x:c r="I92" s="28">
        <x:v>246.0</x:v>
      </x:c>
      <x:c r="J92" s="28">
        <x:v>81.64</x:v>
      </x:c>
    </x:row>
    <x:row r="93" ht="14.25" customHeight="1">
      <x:c r="A93" s="10">
        <x:v>91.0</x:v>
      </x:c>
      <x:c r="B93" s="13" t="s">
        <x:v>259</x:v>
      </x:c>
      <x:c r="C93" s="13" t="s">
        <x:v>244</x:v>
      </x:c>
      <x:c r="D93" s="13" t="s">
        <x:v>340</x:v>
      </x:c>
      <x:c r="E93" s="10">
        <x:v>1578.0</x:v>
      </x:c>
      <x:c r="F93" s="28">
        <x:v>12.77</x:v>
      </x:c>
      <x:c r="G93" s="28">
        <x:v>20151.06</x:v>
      </x:c>
      <x:c r="H93" s="28">
        <x:v>2963.99</x:v>
      </x:c>
      <x:c r="I93" s="28">
        <x:v>10020.3</x:v>
      </x:c>
      <x:c r="J93" s="28">
        <x:v>7166.77</x:v>
      </x:c>
    </x:row>
    <x:row r="94" ht="14.25" customHeight="1">
      <x:c r="A94" s="10">
        <x:v>92.0</x:v>
      </x:c>
      <x:c r="B94" s="13" t="s">
        <x:v>265</x:v>
      </x:c>
      <x:c r="C94" s="13" t="s">
        <x:v>267</x:v>
      </x:c>
      <x:c r="D94" s="13" t="s">
        <x:v>341</x:v>
      </x:c>
      <x:c r="E94" s="10">
        <x:v>659.0</x:v>
      </x:c>
      <x:c r="F94" s="28">
        <x:v>16.42</x:v>
      </x:c>
      <x:c r="G94" s="28">
        <x:v>10820.78</x:v>
      </x:c>
      <x:c r="H94" s="28">
        <x:v>1251.88</x:v>
      </x:c>
      <x:c r="I94" s="28">
        <x:v>4975.45</x:v>
      </x:c>
      <x:c r="J94" s="28">
        <x:v>4593.45</x:v>
      </x:c>
    </x:row>
    <x:row r="95" ht="14.25" customHeight="1">
      <x:c r="A95" s="10">
        <x:v>93.0</x:v>
      </x:c>
      <x:c r="B95" s="13" t="s">
        <x:v>265</x:v>
      </x:c>
      <x:c r="C95" s="13" t="s">
        <x:v>244</x:v>
      </x:c>
      <x:c r="D95" s="13" t="s">
        <x:v>342</x:v>
      </x:c>
      <x:c r="E95" s="10">
        <x:v>492.0</x:v>
      </x:c>
      <x:c r="F95" s="28">
        <x:v>13.34</x:v>
      </x:c>
      <x:c r="G95" s="28">
        <x:v>6563.28</x:v>
      </x:c>
      <x:c r="H95" s="28">
        <x:v>1040.33</x:v>
      </x:c>
      <x:c r="I95" s="28">
        <x:v>3321.0</x:v>
      </x:c>
      <x:c r="J95" s="28">
        <x:v>2201.95</x:v>
      </x:c>
    </x:row>
    <x:row r="96" ht="14.25" customHeight="1">
      <x:c r="A96" s="10">
        <x:v>94.0</x:v>
      </x:c>
      <x:c r="B96" s="13" t="s">
        <x:v>255</x:v>
      </x:c>
      <x:c r="C96" s="13" t="s">
        <x:v>246</x:v>
      </x:c>
      <x:c r="D96" s="13" t="s">
        <x:v>343</x:v>
      </x:c>
      <x:c r="E96" s="10">
        <x:v>60.0</x:v>
      </x:c>
      <x:c r="F96" s="28">
        <x:v>12.22</x:v>
      </x:c>
      <x:c r="G96" s="28">
        <x:v>733.2</x:v>
      </x:c>
      <x:c r="H96" s="28">
        <x:v>213.19</x:v>
      </x:c>
      <x:c r="I96" s="28">
        <x:v>392.4</x:v>
      </x:c>
      <x:c r="J96" s="28">
        <x:v>127.61</x:v>
      </x:c>
    </x:row>
    <x:row r="97" ht="14.25" customHeight="1">
      <x:c r="A97" s="10">
        <x:v>95.0</x:v>
      </x:c>
      <x:c r="B97" s="13" t="s">
        <x:v>252</x:v>
      </x:c>
      <x:c r="C97" s="13" t="s">
        <x:v>246</x:v>
      </x:c>
      <x:c r="D97" s="13" t="s">
        <x:v>344</x:v>
      </x:c>
      <x:c r="E97" s="10">
        <x:v>1308.0</x:v>
      </x:c>
      <x:c r="F97" s="28">
        <x:v>11.82</x:v>
      </x:c>
      <x:c r="G97" s="28">
        <x:v>15460.56</x:v>
      </x:c>
      <x:c r="H97" s="28">
        <x:v>5305.17</x:v>
      </x:c>
      <x:c r="I97" s="28">
        <x:v>7861.08</x:v>
      </x:c>
      <x:c r="J97" s="28">
        <x:v>2294.31</x:v>
      </x:c>
    </x:row>
    <x:row r="98" ht="14.25" customHeight="1">
      <x:c r="A98" s="10">
        <x:v>96.0</x:v>
      </x:c>
      <x:c r="B98" s="13" t="s">
        <x:v>259</x:v>
      </x:c>
      <x:c r="C98" s="13" t="s">
        <x:v>246</x:v>
      </x:c>
      <x:c r="D98" s="13" t="s">
        <x:v>345</x:v>
      </x:c>
      <x:c r="E98" s="10">
        <x:v>1142.0</x:v>
      </x:c>
      <x:c r="F98" s="28">
        <x:v>13.67</x:v>
      </x:c>
      <x:c r="G98" s="28">
        <x:v>15611.14</x:v>
      </x:c>
      <x:c r="H98" s="28">
        <x:v>6556.68</x:v>
      </x:c>
      <x:c r="I98" s="28">
        <x:v>7314.99</x:v>
      </x:c>
      <x:c r="J98" s="28">
        <x:v>1739.47</x:v>
      </x:c>
    </x:row>
    <x:row r="99" ht="14.25" customHeight="1">
      <x:c r="A99" s="10">
        <x:v>97.0</x:v>
      </x:c>
      <x:c r="B99" s="13" t="s">
        <x:v>259</x:v>
      </x:c>
      <x:c r="C99" s="13" t="s">
        <x:v>250</x:v>
      </x:c>
      <x:c r="D99" s="13" t="s">
        <x:v>346</x:v>
      </x:c>
      <x:c r="E99" s="10">
        <x:v>1703.0</x:v>
      </x:c>
      <x:c r="F99" s="28">
        <x:v>8.15</x:v>
      </x:c>
      <x:c r="G99" s="28">
        <x:v>13879.45</x:v>
      </x:c>
      <x:c r="H99" s="28">
        <x:v>723.75</x:v>
      </x:c>
      <x:c r="I99" s="28">
        <x:v>6301.1</x:v>
      </x:c>
      <x:c r="J99" s="28">
        <x:v>6854.6</x:v>
      </x:c>
    </x:row>
    <x:row r="100" ht="14.25" customHeight="1">
      <x:c r="A100" s="10">
        <x:v>98.0</x:v>
      </x:c>
      <x:c r="B100" s="13" t="s">
        <x:v>252</x:v>
      </x:c>
      <x:c r="C100" s="13" t="s">
        <x:v>244</x:v>
      </x:c>
      <x:c r="D100" s="13" t="s">
        <x:v>347</x:v>
      </x:c>
      <x:c r="E100" s="10">
        <x:v>1175.0</x:v>
      </x:c>
      <x:c r="F100" s="28">
        <x:v>11.96</x:v>
      </x:c>
      <x:c r="G100" s="28">
        <x:v>14053.0</x:v>
      </x:c>
      <x:c r="H100" s="28">
        <x:v>3719.92</x:v>
      </x:c>
      <x:c r="I100" s="28">
        <x:v>7191.0</x:v>
      </x:c>
      <x:c r="J100" s="28">
        <x:v>3142.08</x:v>
      </x:c>
    </x:row>
    <x:row r="101" ht="14.25" customHeight="1">
      <x:c r="A101" s="10">
        <x:v>99.0</x:v>
      </x:c>
      <x:c r="B101" s="13" t="s">
        <x:v>252</x:v>
      </x:c>
      <x:c r="C101" s="13" t="s">
        <x:v>261</x:v>
      </x:c>
      <x:c r="D101" s="13" t="s">
        <x:v>348</x:v>
      </x:c>
      <x:c r="E101" s="10">
        <x:v>451.0</x:v>
      </x:c>
      <x:c r="F101" s="28">
        <x:v>13.45</x:v>
      </x:c>
      <x:c r="G101" s="28">
        <x:v>6065.95</x:v>
      </x:c>
      <x:c r="H101" s="28">
        <x:v>2121.19</x:v>
      </x:c>
      <x:c r="I101" s="28">
        <x:v>2990.13</x:v>
      </x:c>
      <x:c r="J101" s="28">
        <x:v>954.63</x:v>
      </x:c>
    </x:row>
    <x:row r="102" ht="14.25" customHeight="1">
      <x:c r="A102" s="10">
        <x:v>100.0</x:v>
      </x:c>
      <x:c r="B102" s="13" t="s">
        <x:v>248</x:v>
      </x:c>
      <x:c r="C102" s="13" t="s">
        <x:v>244</x:v>
      </x:c>
      <x:c r="D102" s="13" t="s">
        <x:v>349</x:v>
      </x:c>
      <x:c r="E102" s="10">
        <x:v>1306.0</x:v>
      </x:c>
      <x:c r="F102" s="28">
        <x:v>11.54</x:v>
      </x:c>
      <x:c r="G102" s="28">
        <x:v>15071.24</x:v>
      </x:c>
      <x:c r="H102" s="28">
        <x:v>1458.82</x:v>
      </x:c>
      <x:c r="I102" s="28">
        <x:v>7209.12</x:v>
      </x:c>
      <x:c r="J102" s="28">
        <x:v>6403.3</x:v>
      </x:c>
    </x:row>
    <x:row r="103" ht="14.25" customHeight="1">
      <x:c r="A103" s="10">
        <x:v>101.0</x:v>
      </x:c>
      <x:c r="B103" s="13" t="s">
        <x:v>252</x:v>
      </x:c>
      <x:c r="C103" s="13" t="s">
        <x:v>250</x:v>
      </x:c>
      <x:c r="D103" s="13" t="s">
        <x:v>326</x:v>
      </x:c>
      <x:c r="E103" s="10">
        <x:v>1128.0</x:v>
      </x:c>
      <x:c r="F103" s="28">
        <x:v>8.15</x:v>
      </x:c>
      <x:c r="G103" s="28">
        <x:v>9193.2</x:v>
      </x:c>
      <x:c r="H103" s="28">
        <x:v>2937.11</x:v>
      </x:c>
      <x:c r="I103" s="28">
        <x:v>4207.44</x:v>
      </x:c>
      <x:c r="J103" s="28">
        <x:v>2048.65</x:v>
      </x:c>
    </x:row>
    <x:row r="104" ht="14.25" customHeight="1">
      <x:c r="A104" s="10">
        <x:v>102.0</x:v>
      </x:c>
      <x:c r="B104" s="13" t="s">
        <x:v>248</x:v>
      </x:c>
      <x:c r="C104" s="13" t="s">
        <x:v>261</x:v>
      </x:c>
      <x:c r="D104" s="13" t="s">
        <x:v>350</x:v>
      </x:c>
      <x:c r="E104" s="10">
        <x:v>971.0</x:v>
      </x:c>
      <x:c r="F104" s="28">
        <x:v>17.05</x:v>
      </x:c>
      <x:c r="G104" s="28">
        <x:v>16555.55</x:v>
      </x:c>
      <x:c r="H104" s="28">
        <x:v>2457.22</x:v>
      </x:c>
      <x:c r="I104" s="28">
        <x:v>8612.77</x:v>
      </x:c>
      <x:c r="J104" s="28">
        <x:v>5485.56</x:v>
      </x:c>
    </x:row>
    <x:row r="105" ht="14.25" customHeight="1">
      <x:c r="A105" s="10">
        <x:v>103.0</x:v>
      </x:c>
      <x:c r="B105" s="13" t="s">
        <x:v>243</x:v>
      </x:c>
      <x:c r="C105" s="13" t="s">
        <x:v>261</x:v>
      </x:c>
      <x:c r="D105" s="13" t="s">
        <x:v>351</x:v>
      </x:c>
      <x:c r="E105" s="10">
        <x:v>1404.0</x:v>
      </x:c>
      <x:c r="F105" s="28">
        <x:v>16.22</x:v>
      </x:c>
      <x:c r="G105" s="28">
        <x:v>22772.88</x:v>
      </x:c>
      <x:c r="H105" s="28">
        <x:v>3626.59</x:v>
      </x:c>
      <x:c r="I105" s="28">
        <x:v>10431.72</x:v>
      </x:c>
      <x:c r="J105" s="28">
        <x:v>8714.57</x:v>
      </x:c>
    </x:row>
    <x:row r="106" ht="14.25" customHeight="1">
      <x:c r="A106" s="10">
        <x:v>104.0</x:v>
      </x:c>
      <x:c r="B106" s="13" t="s">
        <x:v>265</x:v>
      </x:c>
      <x:c r="C106" s="13" t="s">
        <x:v>267</x:v>
      </x:c>
      <x:c r="D106" s="13" t="s">
        <x:v>352</x:v>
      </x:c>
      <x:c r="E106" s="10">
        <x:v>1165.0</x:v>
      </x:c>
      <x:c r="F106" s="28">
        <x:v>15.46</x:v>
      </x:c>
      <x:c r="G106" s="28">
        <x:v>18010.9</x:v>
      </x:c>
      <x:c r="H106" s="28">
        <x:v>3078.28</x:v>
      </x:c>
      <x:c r="I106" s="28">
        <x:v>9320.0</x:v>
      </x:c>
      <x:c r="J106" s="28">
        <x:v>5612.62</x:v>
      </x:c>
    </x:row>
    <x:row r="107" ht="14.25" customHeight="1">
      <x:c r="A107" s="10">
        <x:v>105.0</x:v>
      </x:c>
      <x:c r="B107" s="13" t="s">
        <x:v>259</x:v>
      </x:c>
      <x:c r="C107" s="13" t="s">
        <x:v>267</x:v>
      </x:c>
      <x:c r="D107" s="13" t="s">
        <x:v>316</x:v>
      </x:c>
      <x:c r="E107" s="10">
        <x:v>1394.0</x:v>
      </x:c>
      <x:c r="F107" s="28">
        <x:v>15.72</x:v>
      </x:c>
      <x:c r="G107" s="28">
        <x:v>21913.68</x:v>
      </x:c>
      <x:c r="H107" s="28">
        <x:v>2466.2</x:v>
      </x:c>
      <x:c r="I107" s="28">
        <x:v>10022.86</x:v>
      </x:c>
      <x:c r="J107" s="28">
        <x:v>9424.62</x:v>
      </x:c>
    </x:row>
    <x:row r="108" ht="14.25" customHeight="1">
      <x:c r="A108" s="10">
        <x:v>106.0</x:v>
      </x:c>
      <x:c r="B108" s="13" t="s">
        <x:v>252</x:v>
      </x:c>
      <x:c r="C108" s="13" t="s">
        <x:v>261</x:v>
      </x:c>
      <x:c r="D108" s="13" t="s">
        <x:v>353</x:v>
      </x:c>
      <x:c r="E108" s="10">
        <x:v>1407.0</x:v>
      </x:c>
      <x:c r="F108" s="28">
        <x:v>14.92</x:v>
      </x:c>
      <x:c r="G108" s="28">
        <x:v>20992.44</x:v>
      </x:c>
      <x:c r="H108" s="28">
        <x:v>5855.08</x:v>
      </x:c>
      <x:c r="I108" s="28">
        <x:v>11537.4</x:v>
      </x:c>
      <x:c r="J108" s="28">
        <x:v>3599.96</x:v>
      </x:c>
    </x:row>
    <x:row r="109" ht="14.25" customHeight="1">
      <x:c r="A109" s="10">
        <x:v>107.0</x:v>
      </x:c>
      <x:c r="B109" s="13" t="s">
        <x:v>259</x:v>
      </x:c>
      <x:c r="C109" s="13" t="s">
        <x:v>267</x:v>
      </x:c>
      <x:c r="D109" s="13" t="s">
        <x:v>311</x:v>
      </x:c>
      <x:c r="E109" s="10">
        <x:v>1154.0</x:v>
      </x:c>
      <x:c r="F109" s="28">
        <x:v>15.55</x:v>
      </x:c>
      <x:c r="G109" s="28">
        <x:v>17944.7</x:v>
      </x:c>
      <x:c r="H109" s="28">
        <x:v>1456.87</x:v>
      </x:c>
      <x:c r="I109" s="28">
        <x:v>9278.16</x:v>
      </x:c>
      <x:c r="J109" s="28">
        <x:v>7209.67</x:v>
      </x:c>
    </x:row>
    <x:row r="110" ht="14.25" customHeight="1">
      <x:c r="A110" s="10">
        <x:v>108.0</x:v>
      </x:c>
      <x:c r="B110" s="13" t="s">
        <x:v>265</x:v>
      </x:c>
      <x:c r="C110" s="13" t="s">
        <x:v>267</x:v>
      </x:c>
      <x:c r="D110" s="13" t="s">
        <x:v>249</x:v>
      </x:c>
      <x:c r="E110" s="10">
        <x:v>627.0</x:v>
      </x:c>
      <x:c r="F110" s="28">
        <x:v>15.82</x:v>
      </x:c>
      <x:c r="G110" s="28">
        <x:v>9919.14</x:v>
      </x:c>
      <x:c r="H110" s="28">
        <x:v>1393.29</x:v>
      </x:c>
      <x:c r="I110" s="28">
        <x:v>5316.96</x:v>
      </x:c>
      <x:c r="J110" s="28">
        <x:v>3208.89</x:v>
      </x:c>
    </x:row>
    <x:row r="111" ht="14.25" customHeight="1">
      <x:c r="A111" s="10">
        <x:v>109.0</x:v>
      </x:c>
      <x:c r="B111" s="13" t="s">
        <x:v>252</x:v>
      </x:c>
      <x:c r="C111" s="13" t="s">
        <x:v>261</x:v>
      </x:c>
      <x:c r="D111" s="13" t="s">
        <x:v>354</x:v>
      </x:c>
      <x:c r="E111" s="10">
        <x:v>857.0</x:v>
      </x:c>
      <x:c r="F111" s="28">
        <x:v>13.7</x:v>
      </x:c>
      <x:c r="G111" s="28">
        <x:v>11740.9</x:v>
      </x:c>
      <x:c r="H111" s="28">
        <x:v>3077.08</x:v>
      </x:c>
      <x:c r="I111" s="28">
        <x:v>5836.17</x:v>
      </x:c>
      <x:c r="J111" s="28">
        <x:v>2827.65</x:v>
      </x:c>
    </x:row>
    <x:row r="112" ht="14.25" customHeight="1">
      <x:c r="A112" s="10">
        <x:v>110.0</x:v>
      </x:c>
      <x:c r="B112" s="13" t="s">
        <x:v>252</x:v>
      </x:c>
      <x:c r="C112" s="13" t="s">
        <x:v>250</x:v>
      </x:c>
      <x:c r="D112" s="13" t="s">
        <x:v>355</x:v>
      </x:c>
      <x:c r="E112" s="10">
        <x:v>1171.0</x:v>
      </x:c>
      <x:c r="F112" s="28">
        <x:v>6.63</x:v>
      </x:c>
      <x:c r="G112" s="28">
        <x:v>7763.73</x:v>
      </x:c>
      <x:c r="H112" s="28">
        <x:v>2501.89</x:v>
      </x:c>
      <x:c r="I112" s="28">
        <x:v>3700.36</x:v>
      </x:c>
      <x:c r="J112" s="28">
        <x:v>1561.48</x:v>
      </x:c>
    </x:row>
    <x:row r="113" ht="14.25" customHeight="1">
      <x:c r="A113" s="10">
        <x:v>111.0</x:v>
      </x:c>
      <x:c r="B113" s="13" t="s">
        <x:v>255</x:v>
      </x:c>
      <x:c r="C113" s="13" t="s">
        <x:v>250</x:v>
      </x:c>
      <x:c r="D113" s="13" t="s">
        <x:v>356</x:v>
      </x:c>
      <x:c r="E113" s="10">
        <x:v>694.0</x:v>
      </x:c>
      <x:c r="F113" s="28">
        <x:v>7.72</x:v>
      </x:c>
      <x:c r="G113" s="28">
        <x:v>5357.68</x:v>
      </x:c>
      <x:c r="H113" s="28">
        <x:v>1335.46</x:v>
      </x:c>
      <x:c r="I113" s="28">
        <x:v>2429.0</x:v>
      </x:c>
      <x:c r="J113" s="28">
        <x:v>1593.22</x:v>
      </x:c>
    </x:row>
    <x:row r="114" ht="14.25" customHeight="1">
      <x:c r="A114" s="10">
        <x:v>112.0</x:v>
      </x:c>
      <x:c r="B114" s="13" t="s">
        <x:v>248</x:v>
      </x:c>
      <x:c r="C114" s="13" t="s">
        <x:v>250</x:v>
      </x:c>
      <x:c r="D114" s="13" t="s">
        <x:v>357</x:v>
      </x:c>
      <x:c r="E114" s="10">
        <x:v>1815.0</x:v>
      </x:c>
      <x:c r="F114" s="28">
        <x:v>9.4</x:v>
      </x:c>
      <x:c r="G114" s="28">
        <x:v>17061.0</x:v>
      </x:c>
      <x:c r="H114" s="28">
        <x:v>991.14</x:v>
      </x:c>
      <x:c r="I114" s="28">
        <x:v>8004.15</x:v>
      </x:c>
      <x:c r="J114" s="28">
        <x:v>8065.71</x:v>
      </x:c>
    </x:row>
    <x:row r="115" ht="14.25" customHeight="1">
      <x:c r="A115" s="10">
        <x:v>113.0</x:v>
      </x:c>
      <x:c r="B115" s="13" t="s">
        <x:v>265</x:v>
      </x:c>
      <x:c r="C115" s="13" t="s">
        <x:v>250</x:v>
      </x:c>
      <x:c r="D115" s="13" t="s">
        <x:v>358</x:v>
      </x:c>
      <x:c r="E115" s="10">
        <x:v>60.0</x:v>
      </x:c>
      <x:c r="F115" s="28">
        <x:v>6.61</x:v>
      </x:c>
      <x:c r="G115" s="28">
        <x:v>396.6</x:v>
      </x:c>
      <x:c r="H115" s="28">
        <x:v>42.11</x:v>
      </x:c>
      <x:c r="I115" s="28">
        <x:v>193.2</x:v>
      </x:c>
      <x:c r="J115" s="28">
        <x:v>161.29</x:v>
      </x:c>
    </x:row>
    <x:row r="116" ht="14.25" customHeight="1">
      <x:c r="A116" s="10">
        <x:v>114.0</x:v>
      </x:c>
      <x:c r="B116" s="13" t="s">
        <x:v>243</x:v>
      </x:c>
      <x:c r="C116" s="13" t="s">
        <x:v>250</x:v>
      </x:c>
      <x:c r="D116" s="13" t="s">
        <x:v>359</x:v>
      </x:c>
      <x:c r="E116" s="10">
        <x:v>595.0</x:v>
      </x:c>
      <x:c r="F116" s="28">
        <x:v>8.88</x:v>
      </x:c>
      <x:c r="G116" s="28">
        <x:v>5283.6</x:v>
      </x:c>
      <x:c r="H116" s="28">
        <x:v>776.55</x:v>
      </x:c>
      <x:c r="I116" s="28">
        <x:v>2522.8</x:v>
      </x:c>
      <x:c r="J116" s="28">
        <x:v>1984.25</x:v>
      </x:c>
    </x:row>
    <x:row r="117" ht="14.25" customHeight="1">
      <x:c r="A117" s="10">
        <x:v>115.0</x:v>
      </x:c>
      <x:c r="B117" s="13" t="s">
        <x:v>248</x:v>
      </x:c>
      <x:c r="C117" s="13" t="s">
        <x:v>267</x:v>
      </x:c>
      <x:c r="D117" s="13" t="s">
        <x:v>360</x:v>
      </x:c>
      <x:c r="E117" s="10">
        <x:v>1539.0</x:v>
      </x:c>
      <x:c r="F117" s="28">
        <x:v>13.76</x:v>
      </x:c>
      <x:c r="G117" s="28">
        <x:v>21176.64</x:v>
      </x:c>
      <x:c r="H117" s="28">
        <x:v>2077.59</x:v>
      </x:c>
      <x:c r="I117" s="28">
        <x:v>10449.81</x:v>
      </x:c>
      <x:c r="J117" s="28">
        <x:v>8649.24</x:v>
      </x:c>
    </x:row>
    <x:row r="118" ht="14.25" customHeight="1">
      <x:c r="A118" s="10">
        <x:v>116.0</x:v>
      </x:c>
      <x:c r="B118" s="13" t="s">
        <x:v>255</x:v>
      </x:c>
      <x:c r="C118" s="13" t="s">
        <x:v>250</x:v>
      </x:c>
      <x:c r="D118" s="13" t="s">
        <x:v>303</x:v>
      </x:c>
      <x:c r="E118" s="10">
        <x:v>1137.0</x:v>
      </x:c>
      <x:c r="F118" s="28">
        <x:v>7.21</x:v>
      </x:c>
      <x:c r="G118" s="28">
        <x:v>8197.77</x:v>
      </x:c>
      <x:c r="H118" s="28">
        <x:v>1945.81</x:v>
      </x:c>
      <x:c r="I118" s="28">
        <x:v>4229.64</x:v>
      </x:c>
      <x:c r="J118" s="28">
        <x:v>2022.32</x:v>
      </x:c>
    </x:row>
    <x:row r="119" ht="14.25" customHeight="1">
      <x:c r="A119" s="10">
        <x:v>117.0</x:v>
      </x:c>
      <x:c r="B119" s="13" t="s">
        <x:v>243</x:v>
      </x:c>
      <x:c r="C119" s="13" t="s">
        <x:v>261</x:v>
      </x:c>
      <x:c r="D119" s="13" t="s">
        <x:v>349</x:v>
      </x:c>
      <x:c r="E119" s="10">
        <x:v>2306.0</x:v>
      </x:c>
      <x:c r="F119" s="28">
        <x:v>12.4</x:v>
      </x:c>
      <x:c r="G119" s="28">
        <x:v>28594.4</x:v>
      </x:c>
      <x:c r="H119" s="28">
        <x:v>3342.13</x:v>
      </x:c>
      <x:c r="I119" s="28">
        <x:v>15104.3</x:v>
      </x:c>
      <x:c r="J119" s="28">
        <x:v>10147.97</x:v>
      </x:c>
    </x:row>
    <x:row r="120" ht="14.25" customHeight="1">
      <x:c r="A120" s="10">
        <x:v>118.0</x:v>
      </x:c>
      <x:c r="B120" s="13" t="s">
        <x:v>248</x:v>
      </x:c>
      <x:c r="C120" s="13" t="s">
        <x:v>250</x:v>
      </x:c>
      <x:c r="D120" s="13" t="s">
        <x:v>361</x:v>
      </x:c>
      <x:c r="E120" s="10">
        <x:v>1457.0</x:v>
      </x:c>
      <x:c r="F120" s="28">
        <x:v>8.07</x:v>
      </x:c>
      <x:c r="G120" s="28">
        <x:v>11757.99</x:v>
      </x:c>
      <x:c r="H120" s="28">
        <x:v>2003.39</x:v>
      </x:c>
      <x:c r="I120" s="28">
        <x:v>5347.19</x:v>
      </x:c>
      <x:c r="J120" s="28">
        <x:v>4407.41</x:v>
      </x:c>
    </x:row>
    <x:row r="121" ht="14.25" customHeight="1">
      <x:c r="A121" s="10">
        <x:v>119.0</x:v>
      </x:c>
      <x:c r="B121" s="13" t="s">
        <x:v>252</x:v>
      </x:c>
      <x:c r="C121" s="13" t="s">
        <x:v>244</x:v>
      </x:c>
      <x:c r="D121" s="13" t="s">
        <x:v>306</x:v>
      </x:c>
      <x:c r="E121" s="10">
        <x:v>305.0</x:v>
      </x:c>
      <x:c r="F121" s="28">
        <x:v>9.9</x:v>
      </x:c>
      <x:c r="G121" s="28">
        <x:v>3019.5</x:v>
      </x:c>
      <x:c r="H121" s="28">
        <x:v>826.51</x:v>
      </x:c>
      <x:c r="I121" s="28">
        <x:v>1460.95</x:v>
      </x:c>
      <x:c r="J121" s="28">
        <x:v>732.04</x:v>
      </x:c>
    </x:row>
    <x:row r="122" ht="14.25" customHeight="1">
      <x:c r="A122" s="10">
        <x:v>120.0</x:v>
      </x:c>
      <x:c r="B122" s="13" t="s">
        <x:v>243</x:v>
      </x:c>
      <x:c r="C122" s="13" t="s">
        <x:v>244</x:v>
      </x:c>
      <x:c r="D122" s="13" t="s">
        <x:v>362</x:v>
      </x:c>
      <x:c r="E122" s="10">
        <x:v>1564.0</x:v>
      </x:c>
      <x:c r="F122" s="28">
        <x:v>9.75</x:v>
      </x:c>
      <x:c r="G122" s="28">
        <x:v>15249.0</x:v>
      </x:c>
      <x:c r="H122" s="28">
        <x:v>1824.51</x:v>
      </x:c>
      <x:c r="I122" s="28">
        <x:v>8257.92</x:v>
      </x:c>
      <x:c r="J122" s="28">
        <x:v>5166.57</x:v>
      </x:c>
    </x:row>
    <x:row r="123" ht="14.25" customHeight="1">
      <x:c r="A123" s="10">
        <x:v>121.0</x:v>
      </x:c>
      <x:c r="B123" s="13" t="s">
        <x:v>255</x:v>
      </x:c>
      <x:c r="C123" s="13" t="s">
        <x:v>250</x:v>
      </x:c>
      <x:c r="D123" s="13" t="s">
        <x:v>363</x:v>
      </x:c>
      <x:c r="E123" s="10">
        <x:v>1688.0</x:v>
      </x:c>
      <x:c r="F123" s="28">
        <x:v>8.78</x:v>
      </x:c>
      <x:c r="G123" s="28">
        <x:v>14820.64</x:v>
      </x:c>
      <x:c r="H123" s="28">
        <x:v>3393.82</x:v>
      </x:c>
      <x:c r="I123" s="28">
        <x:v>7460.96</x:v>
      </x:c>
      <x:c r="J123" s="28">
        <x:v>3965.86</x:v>
      </x:c>
    </x:row>
    <x:row r="124" ht="14.25" customHeight="1">
      <x:c r="A124" s="10">
        <x:v>122.0</x:v>
      </x:c>
      <x:c r="B124" s="13" t="s">
        <x:v>243</x:v>
      </x:c>
      <x:c r="C124" s="13" t="s">
        <x:v>261</x:v>
      </x:c>
      <x:c r="D124" s="13" t="s">
        <x:v>364</x:v>
      </x:c>
      <x:c r="E124" s="10">
        <x:v>2064.0</x:v>
      </x:c>
      <x:c r="F124" s="28">
        <x:v>16.14</x:v>
      </x:c>
      <x:c r="G124" s="28">
        <x:v>33312.96</x:v>
      </x:c>
      <x:c r="H124" s="28">
        <x:v>4620.9</x:v>
      </x:c>
      <x:c r="I124" s="28">
        <x:v>17874.24</x:v>
      </x:c>
      <x:c r="J124" s="28">
        <x:v>10817.82</x:v>
      </x:c>
    </x:row>
    <x:row r="125" ht="14.25" customHeight="1">
      <x:c r="A125" s="10">
        <x:v>123.0</x:v>
      </x:c>
      <x:c r="B125" s="13" t="s">
        <x:v>243</x:v>
      </x:c>
      <x:c r="C125" s="13" t="s">
        <x:v>246</x:v>
      </x:c>
      <x:c r="D125" s="13" t="s">
        <x:v>365</x:v>
      </x:c>
      <x:c r="E125" s="10">
        <x:v>1193.0</x:v>
      </x:c>
      <x:c r="F125" s="28">
        <x:v>9.82</x:v>
      </x:c>
      <x:c r="G125" s="28">
        <x:v>11715.26</x:v>
      </x:c>
      <x:c r="H125" s="28">
        <x:v>4920.41</x:v>
      </x:c>
      <x:c r="I125" s="28">
        <x:v>7641.66</x:v>
      </x:c>
      <x:c r="J125" s="28">
        <x:v>-846.81</x:v>
      </x:c>
    </x:row>
    <x:row r="126" ht="14.25" customHeight="1">
      <x:c r="A126" s="10">
        <x:v>124.0</x:v>
      </x:c>
      <x:c r="B126" s="13" t="s">
        <x:v>252</x:v>
      </x:c>
      <x:c r="C126" s="13" t="s">
        <x:v>267</x:v>
      </x:c>
      <x:c r="D126" s="13" t="s">
        <x:v>366</x:v>
      </x:c>
      <x:c r="E126" s="10">
        <x:v>386.0</x:v>
      </x:c>
      <x:c r="F126" s="28">
        <x:v>15.46</x:v>
      </x:c>
      <x:c r="G126" s="28">
        <x:v>5967.56</x:v>
      </x:c>
      <x:c r="H126" s="28">
        <x:v>2065.37</x:v>
      </x:c>
      <x:c r="I126" s="28">
        <x:v>3130.46</x:v>
      </x:c>
      <x:c r="J126" s="28">
        <x:v>771.73</x:v>
      </x:c>
    </x:row>
    <x:row r="127" ht="14.25" customHeight="1">
      <x:c r="A127" s="10">
        <x:v>125.0</x:v>
      </x:c>
      <x:c r="B127" s="13" t="s">
        <x:v>259</x:v>
      </x:c>
      <x:c r="C127" s="13" t="s">
        <x:v>244</x:v>
      </x:c>
      <x:c r="D127" s="13" t="s">
        <x:v>367</x:v>
      </x:c>
      <x:c r="E127" s="10">
        <x:v>882.0</x:v>
      </x:c>
      <x:c r="F127" s="28">
        <x:v>11.9</x:v>
      </x:c>
      <x:c r="G127" s="28">
        <x:v>10495.8</x:v>
      </x:c>
      <x:c r="H127" s="28">
        <x:v>637.29</x:v>
      </x:c>
      <x:c r="I127" s="28">
        <x:v>5547.78</x:v>
      </x:c>
      <x:c r="J127" s="28">
        <x:v>4310.73</x:v>
      </x:c>
    </x:row>
    <x:row r="128" ht="14.25" customHeight="1">
      <x:c r="A128" s="10">
        <x:v>126.0</x:v>
      </x:c>
      <x:c r="B128" s="13" t="s">
        <x:v>259</x:v>
      </x:c>
      <x:c r="C128" s="13" t="s">
        <x:v>267</x:v>
      </x:c>
      <x:c r="D128" s="13" t="s">
        <x:v>368</x:v>
      </x:c>
      <x:c r="E128" s="10">
        <x:v>1451.0</x:v>
      </x:c>
      <x:c r="F128" s="28">
        <x:v>15.23</x:v>
      </x:c>
      <x:c r="G128" s="28">
        <x:v>22098.73</x:v>
      </x:c>
      <x:c r="H128" s="28">
        <x:v>2181.49</x:v>
      </x:c>
      <x:c r="I128" s="28">
        <x:v>10098.96</x:v>
      </x:c>
      <x:c r="J128" s="28">
        <x:v>9818.28</x:v>
      </x:c>
    </x:row>
    <x:row r="129" ht="14.25" customHeight="1">
      <x:c r="A129" s="10">
        <x:v>127.0</x:v>
      </x:c>
      <x:c r="B129" s="13" t="s">
        <x:v>265</x:v>
      </x:c>
      <x:c r="C129" s="13" t="s">
        <x:v>246</x:v>
      </x:c>
      <x:c r="D129" s="13" t="s">
        <x:v>369</x:v>
      </x:c>
      <x:c r="E129" s="10">
        <x:v>2439.0</x:v>
      </x:c>
      <x:c r="F129" s="28">
        <x:v>12.19</x:v>
      </x:c>
      <x:c r="G129" s="28">
        <x:v>29731.41</x:v>
      </x:c>
      <x:c r="H129" s="28">
        <x:v>12487.19</x:v>
      </x:c>
      <x:c r="I129" s="28">
        <x:v>15622.81</x:v>
      </x:c>
      <x:c r="J129" s="28">
        <x:v>1621.41</x:v>
      </x:c>
    </x:row>
    <x:row r="130" ht="14.25" customHeight="1">
      <x:c r="A130" s="10">
        <x:v>128.0</x:v>
      </x:c>
      <x:c r="B130" s="13" t="s">
        <x:v>243</x:v>
      </x:c>
      <x:c r="C130" s="13" t="s">
        <x:v>250</x:v>
      </x:c>
      <x:c r="D130" s="13" t="s">
        <x:v>370</x:v>
      </x:c>
      <x:c r="E130" s="10">
        <x:v>198.0</x:v>
      </x:c>
      <x:c r="F130" s="28">
        <x:v>7.16</x:v>
      </x:c>
      <x:c r="G130" s="28">
        <x:v>1417.68</x:v>
      </x:c>
      <x:c r="H130" s="28">
        <x:v>103.17</x:v>
      </x:c>
      <x:c r="I130" s="28">
        <x:v>704.88</x:v>
      </x:c>
      <x:c r="J130" s="28">
        <x:v>609.63</x:v>
      </x:c>
    </x:row>
    <x:row r="131" ht="14.25" customHeight="1">
      <x:c r="A131" s="10">
        <x:v>129.0</x:v>
      </x:c>
      <x:c r="B131" s="13" t="s">
        <x:v>259</x:v>
      </x:c>
      <x:c r="C131" s="13" t="s">
        <x:v>267</x:v>
      </x:c>
      <x:c r="D131" s="13" t="s">
        <x:v>371</x:v>
      </x:c>
      <x:c r="E131" s="10">
        <x:v>1059.0</x:v>
      </x:c>
      <x:c r="F131" s="28">
        <x:v>15.55</x:v>
      </x:c>
      <x:c r="G131" s="28">
        <x:v>16467.45</x:v>
      </x:c>
      <x:c r="H131" s="28">
        <x:v>2809.72</x:v>
      </x:c>
      <x:c r="I131" s="28">
        <x:v>8080.17</x:v>
      </x:c>
      <x:c r="J131" s="28">
        <x:v>5577.56</x:v>
      </x:c>
    </x:row>
    <x:row r="132" ht="14.25" customHeight="1">
      <x:c r="A132" s="10">
        <x:v>130.0</x:v>
      </x:c>
      <x:c r="B132" s="13" t="s">
        <x:v>252</x:v>
      </x:c>
      <x:c r="C132" s="13" t="s">
        <x:v>244</x:v>
      </x:c>
      <x:c r="D132" s="13" t="s">
        <x:v>372</x:v>
      </x:c>
      <x:c r="E132" s="10">
        <x:v>681.0</x:v>
      </x:c>
      <x:c r="F132" s="28">
        <x:v>14.52</x:v>
      </x:c>
      <x:c r="G132" s="28">
        <x:v>9888.12</x:v>
      </x:c>
      <x:c r="H132" s="28">
        <x:v>2851.95</x:v>
      </x:c>
      <x:c r="I132" s="28">
        <x:v>5114.31</x:v>
      </x:c>
      <x:c r="J132" s="28">
        <x:v>1921.86</x:v>
      </x:c>
    </x:row>
    <x:row r="133" ht="14.25" customHeight="1">
      <x:c r="A133" s="10">
        <x:v>131.0</x:v>
      </x:c>
      <x:c r="B133" s="13" t="s">
        <x:v>243</x:v>
      </x:c>
      <x:c r="C133" s="13" t="s">
        <x:v>246</x:v>
      </x:c>
      <x:c r="D133" s="13" t="s">
        <x:v>373</x:v>
      </x:c>
      <x:c r="E133" s="10">
        <x:v>173.0</x:v>
      </x:c>
      <x:c r="F133" s="28">
        <x:v>14.34</x:v>
      </x:c>
      <x:c r="G133" s="28">
        <x:v>2480.82</x:v>
      </x:c>
      <x:c r="H133" s="28">
        <x:v>251.91</x:v>
      </x:c>
      <x:c r="I133" s="28">
        <x:v>1238.68</x:v>
      </x:c>
      <x:c r="J133" s="28">
        <x:v>990.23</x:v>
      </x:c>
    </x:row>
    <x:row r="134" ht="14.25" customHeight="1">
      <x:c r="A134" s="10">
        <x:v>132.0</x:v>
      </x:c>
      <x:c r="B134" s="13" t="s">
        <x:v>252</x:v>
      </x:c>
      <x:c r="C134" s="13" t="s">
        <x:v>244</x:v>
      </x:c>
      <x:c r="D134" s="13" t="s">
        <x:v>374</x:v>
      </x:c>
      <x:c r="E134" s="10">
        <x:v>1860.0</x:v>
      </x:c>
      <x:c r="F134" s="28">
        <x:v>11.35</x:v>
      </x:c>
      <x:c r="G134" s="28">
        <x:v>21111.0</x:v>
      </x:c>
      <x:c r="H134" s="28">
        <x:v>6189.37</x:v>
      </x:c>
      <x:c r="I134" s="28">
        <x:v>11532.0</x:v>
      </x:c>
      <x:c r="J134" s="28">
        <x:v>3389.63</x:v>
      </x:c>
    </x:row>
    <x:row r="135" ht="14.25" customHeight="1">
      <x:c r="A135" s="10">
        <x:v>133.0</x:v>
      </x:c>
      <x:c r="B135" s="13" t="s">
        <x:v>265</x:v>
      </x:c>
      <x:c r="C135" s="13" t="s">
        <x:v>267</x:v>
      </x:c>
      <x:c r="D135" s="13" t="s">
        <x:v>375</x:v>
      </x:c>
      <x:c r="E135" s="10">
        <x:v>365.0</x:v>
      </x:c>
      <x:c r="F135" s="28">
        <x:v>17.82</x:v>
      </x:c>
      <x:c r="G135" s="28">
        <x:v>6504.3</x:v>
      </x:c>
      <x:c r="H135" s="28">
        <x:v>461.99</x:v>
      </x:c>
      <x:c r="I135" s="28">
        <x:v>3233.9</x:v>
      </x:c>
      <x:c r="J135" s="28">
        <x:v>2808.41</x:v>
      </x:c>
    </x:row>
    <x:row r="136" ht="14.25" customHeight="1">
      <x:c r="A136" s="10">
        <x:v>134.0</x:v>
      </x:c>
      <x:c r="B136" s="13" t="s">
        <x:v>243</x:v>
      </x:c>
      <x:c r="C136" s="13" t="s">
        <x:v>267</x:v>
      </x:c>
      <x:c r="D136" s="13" t="s">
        <x:v>376</x:v>
      </x:c>
      <x:c r="E136" s="10">
        <x:v>1257.0</x:v>
      </x:c>
      <x:c r="F136" s="28">
        <x:v>16.0</x:v>
      </x:c>
      <x:c r="G136" s="28">
        <x:v>20112.0</x:v>
      </x:c>
      <x:c r="H136" s="28">
        <x:v>1011.67</x:v>
      </x:c>
      <x:c r="I136" s="28">
        <x:v>10081.14</x:v>
      </x:c>
      <x:c r="J136" s="28">
        <x:v>9019.19</x:v>
      </x:c>
    </x:row>
    <x:row r="137" ht="14.25" customHeight="1">
      <x:c r="A137" s="10">
        <x:v>135.0</x:v>
      </x:c>
      <x:c r="B137" s="13" t="s">
        <x:v>243</x:v>
      </x:c>
      <x:c r="C137" s="13" t="s">
        <x:v>267</x:v>
      </x:c>
      <x:c r="D137" s="13" t="s">
        <x:v>377</x:v>
      </x:c>
      <x:c r="E137" s="10">
        <x:v>738.0</x:v>
      </x:c>
      <x:c r="F137" s="28">
        <x:v>15.12</x:v>
      </x:c>
      <x:c r="G137" s="28">
        <x:v>11158.56</x:v>
      </x:c>
      <x:c r="H137" s="28">
        <x:v>1232.49</x:v>
      </x:c>
      <x:c r="I137" s="28">
        <x:v>6044.22</x:v>
      </x:c>
      <x:c r="J137" s="28">
        <x:v>3881.85</x:v>
      </x:c>
    </x:row>
    <x:row r="138" ht="14.25" customHeight="1">
      <x:c r="A138" s="10">
        <x:v>136.0</x:v>
      </x:c>
      <x:c r="B138" s="13" t="s">
        <x:v>248</x:v>
      </x:c>
      <x:c r="C138" s="13" t="s">
        <x:v>250</x:v>
      </x:c>
      <x:c r="D138" s="13" t="s">
        <x:v>378</x:v>
      </x:c>
      <x:c r="E138" s="10">
        <x:v>1499.0</x:v>
      </x:c>
      <x:c r="F138" s="28">
        <x:v>5.96</x:v>
      </x:c>
      <x:c r="G138" s="28">
        <x:v>8934.04</x:v>
      </x:c>
      <x:c r="H138" s="28">
        <x:v>782.78</x:v>
      </x:c>
      <x:c r="I138" s="28">
        <x:v>4152.23</x:v>
      </x:c>
      <x:c r="J138" s="28">
        <x:v>3999.03</x:v>
      </x:c>
    </x:row>
    <x:row r="139" ht="14.25" customHeight="1">
      <x:c r="A139" s="10">
        <x:v>137.0</x:v>
      </x:c>
      <x:c r="B139" s="13" t="s">
        <x:v>252</x:v>
      </x:c>
      <x:c r="C139" s="13" t="s">
        <x:v>246</x:v>
      </x:c>
      <x:c r="D139" s="13" t="s">
        <x:v>379</x:v>
      </x:c>
      <x:c r="E139" s="10">
        <x:v>892.0</x:v>
      </x:c>
      <x:c r="F139" s="28">
        <x:v>13.2</x:v>
      </x:c>
      <x:c r="G139" s="28">
        <x:v>11774.4</x:v>
      </x:c>
      <x:c r="H139" s="28">
        <x:v>4945.25</x:v>
      </x:c>
      <x:c r="I139" s="28">
        <x:v>5713.63</x:v>
      </x:c>
      <x:c r="J139" s="28">
        <x:v>1115.52</x:v>
      </x:c>
    </x:row>
    <x:row r="140" ht="14.25" customHeight="1">
      <x:c r="A140" s="10">
        <x:v>138.0</x:v>
      </x:c>
      <x:c r="B140" s="13" t="s">
        <x:v>259</x:v>
      </x:c>
      <x:c r="C140" s="13" t="s">
        <x:v>267</x:v>
      </x:c>
      <x:c r="D140" s="13" t="s">
        <x:v>380</x:v>
      </x:c>
      <x:c r="E140" s="10">
        <x:v>752.0</x:v>
      </x:c>
      <x:c r="F140" s="28">
        <x:v>16.29</x:v>
      </x:c>
      <x:c r="G140" s="28">
        <x:v>12250.08</x:v>
      </x:c>
      <x:c r="H140" s="28">
        <x:v>1839.1</x:v>
      </x:c>
      <x:c r="I140" s="28">
        <x:v>6655.2</x:v>
      </x:c>
      <x:c r="J140" s="28">
        <x:v>3755.78</x:v>
      </x:c>
    </x:row>
    <x:row r="141" ht="14.25" customHeight="1">
      <x:c r="A141" s="10">
        <x:v>139.0</x:v>
      </x:c>
      <x:c r="B141" s="13" t="s">
        <x:v>243</x:v>
      </x:c>
      <x:c r="C141" s="13" t="s">
        <x:v>246</x:v>
      </x:c>
      <x:c r="D141" s="13" t="s">
        <x:v>280</x:v>
      </x:c>
      <x:c r="E141" s="10">
        <x:v>546.0</x:v>
      </x:c>
      <x:c r="F141" s="28">
        <x:v>11.75</x:v>
      </x:c>
      <x:c r="G141" s="28">
        <x:v>6415.5</x:v>
      </x:c>
      <x:c r="H141" s="28">
        <x:v>762.06</x:v>
      </x:c>
      <x:c r="I141" s="28">
        <x:v>3063.06</x:v>
      </x:c>
      <x:c r="J141" s="28">
        <x:v>2590.38</x:v>
      </x:c>
    </x:row>
    <x:row r="142" ht="14.25" customHeight="1">
      <x:c r="A142" s="10">
        <x:v>140.0</x:v>
      </x:c>
      <x:c r="B142" s="13" t="s">
        <x:v>243</x:v>
      </x:c>
      <x:c r="C142" s="13" t="s">
        <x:v>250</x:v>
      </x:c>
      <x:c r="D142" s="13" t="s">
        <x:v>272</x:v>
      </x:c>
      <x:c r="E142" s="10">
        <x:v>925.0</x:v>
      </x:c>
      <x:c r="F142" s="28">
        <x:v>8.82</x:v>
      </x:c>
      <x:c r="G142" s="28">
        <x:v>8158.5</x:v>
      </x:c>
      <x:c r="H142" s="28">
        <x:v>766.84</x:v>
      </x:c>
      <x:c r="I142" s="28">
        <x:v>4393.75</x:v>
      </x:c>
      <x:c r="J142" s="28">
        <x:v>2997.91</x:v>
      </x:c>
    </x:row>
    <x:row r="143" ht="14.25" customHeight="1">
      <x:c r="A143" s="10">
        <x:v>141.0</x:v>
      </x:c>
      <x:c r="B143" s="13" t="s">
        <x:v>265</x:v>
      </x:c>
      <x:c r="C143" s="13" t="s">
        <x:v>267</x:v>
      </x:c>
      <x:c r="D143" s="13" t="s">
        <x:v>381</x:v>
      </x:c>
      <x:c r="E143" s="10">
        <x:v>60.0</x:v>
      </x:c>
      <x:c r="F143" s="28">
        <x:v>17.06</x:v>
      </x:c>
      <x:c r="G143" s="28">
        <x:v>1023.6</x:v>
      </x:c>
      <x:c r="H143" s="28">
        <x:v>153.67</x:v>
      </x:c>
      <x:c r="I143" s="28">
        <x:v>501.0</x:v>
      </x:c>
      <x:c r="J143" s="28">
        <x:v>368.93</x:v>
      </x:c>
    </x:row>
    <x:row r="144" ht="14.25" customHeight="1">
      <x:c r="A144" s="10">
        <x:v>142.0</x:v>
      </x:c>
      <x:c r="B144" s="13" t="s">
        <x:v>252</x:v>
      </x:c>
      <x:c r="C144" s="13" t="s">
        <x:v>250</x:v>
      </x:c>
      <x:c r="D144" s="13" t="s">
        <x:v>382</x:v>
      </x:c>
      <x:c r="E144" s="10">
        <x:v>312.0</x:v>
      </x:c>
      <x:c r="F144" s="28">
        <x:v>7.2</x:v>
      </x:c>
      <x:c r="G144" s="28">
        <x:v>2246.4</x:v>
      </x:c>
      <x:c r="H144" s="28">
        <x:v>879.73</x:v>
      </x:c>
      <x:c r="I144" s="28">
        <x:v>1129.44</x:v>
      </x:c>
      <x:c r="J144" s="28">
        <x:v>237.23</x:v>
      </x:c>
    </x:row>
    <x:row r="145" ht="14.25" customHeight="1">
      <x:c r="A145" s="10">
        <x:v>143.0</x:v>
      </x:c>
      <x:c r="B145" s="13" t="s">
        <x:v>255</x:v>
      </x:c>
      <x:c r="C145" s="13" t="s">
        <x:v>261</x:v>
      </x:c>
      <x:c r="D145" s="13" t="s">
        <x:v>383</x:v>
      </x:c>
      <x:c r="E145" s="10">
        <x:v>714.0</x:v>
      </x:c>
      <x:c r="F145" s="28">
        <x:v>15.52</x:v>
      </x:c>
      <x:c r="G145" s="28">
        <x:v>11081.28</x:v>
      </x:c>
      <x:c r="H145" s="28">
        <x:v>2394.34</x:v>
      </x:c>
      <x:c r="I145" s="28">
        <x:v>5355.0</x:v>
      </x:c>
      <x:c r="J145" s="28">
        <x:v>3331.94</x:v>
      </x:c>
    </x:row>
    <x:row r="146" ht="14.25" customHeight="1">
      <x:c r="A146" s="10">
        <x:v>144.0</x:v>
      </x:c>
      <x:c r="B146" s="13" t="s">
        <x:v>248</x:v>
      </x:c>
      <x:c r="C146" s="13" t="s">
        <x:v>244</x:v>
      </x:c>
      <x:c r="D146" s="13" t="s">
        <x:v>384</x:v>
      </x:c>
      <x:c r="E146" s="10">
        <x:v>813.0</x:v>
      </x:c>
      <x:c r="F146" s="28">
        <x:v>11.84</x:v>
      </x:c>
      <x:c r="G146" s="28">
        <x:v>9625.92</x:v>
      </x:c>
      <x:c r="H146" s="28">
        <x:v>974.37</x:v>
      </x:c>
      <x:c r="I146" s="28">
        <x:v>4617.84</x:v>
      </x:c>
      <x:c r="J146" s="28">
        <x:v>4033.71</x:v>
      </x:c>
    </x:row>
    <x:row r="147" ht="14.25" customHeight="1">
      <x:c r="A147" s="10">
        <x:v>145.0</x:v>
      </x:c>
      <x:c r="B147" s="13" t="s">
        <x:v>265</x:v>
      </x:c>
      <x:c r="C147" s="13" t="s">
        <x:v>250</x:v>
      </x:c>
      <x:c r="D147" s="13" t="s">
        <x:v>385</x:v>
      </x:c>
      <x:c r="E147" s="10">
        <x:v>1318.0</x:v>
      </x:c>
      <x:c r="F147" s="28">
        <x:v>8.69</x:v>
      </x:c>
      <x:c r="G147" s="28">
        <x:v>11453.42</x:v>
      </x:c>
      <x:c r="H147" s="28">
        <x:v>711.51</x:v>
      </x:c>
      <x:c r="I147" s="28">
        <x:v>5298.36</x:v>
      </x:c>
      <x:c r="J147" s="28">
        <x:v>5443.55</x:v>
      </x:c>
    </x:row>
    <x:row r="148" ht="14.25" customHeight="1">
      <x:c r="A148" s="10">
        <x:v>146.0</x:v>
      </x:c>
      <x:c r="B148" s="13" t="s">
        <x:v>248</x:v>
      </x:c>
      <x:c r="C148" s="13" t="s">
        <x:v>250</x:v>
      </x:c>
      <x:c r="D148" s="13" t="s">
        <x:v>386</x:v>
      </x:c>
      <x:c r="E148" s="10">
        <x:v>1176.0</x:v>
      </x:c>
      <x:c r="F148" s="28">
        <x:v>7.13</x:v>
      </x:c>
      <x:c r="G148" s="28">
        <x:v>8384.88</x:v>
      </x:c>
      <x:c r="H148" s="28">
        <x:v>1045.74</x:v>
      </x:c>
      <x:c r="I148" s="28">
        <x:v>3822.0</x:v>
      </x:c>
      <x:c r="J148" s="28">
        <x:v>3517.14</x:v>
      </x:c>
    </x:row>
    <x:row r="149" ht="14.25" customHeight="1">
      <x:c r="A149" s="10">
        <x:v>147.0</x:v>
      </x:c>
      <x:c r="B149" s="13" t="s">
        <x:v>243</x:v>
      </x:c>
      <x:c r="C149" s="13" t="s">
        <x:v>246</x:v>
      </x:c>
      <x:c r="D149" s="13" t="s">
        <x:v>387</x:v>
      </x:c>
      <x:c r="E149" s="10">
        <x:v>706.0</x:v>
      </x:c>
      <x:c r="F149" s="28">
        <x:v>12.93</x:v>
      </x:c>
      <x:c r="G149" s="28">
        <x:v>9128.58</x:v>
      </x:c>
      <x:c r="H149" s="28">
        <x:v>708.53</x:v>
      </x:c>
      <x:c r="I149" s="28">
        <x:v>4687.84</x:v>
      </x:c>
      <x:c r="J149" s="28">
        <x:v>3732.21</x:v>
      </x:c>
    </x:row>
    <x:row r="150" ht="14.25" customHeight="1">
      <x:c r="A150" s="10">
        <x:v>148.0</x:v>
      </x:c>
      <x:c r="B150" s="13" t="s">
        <x:v>248</x:v>
      </x:c>
      <x:c r="C150" s="13" t="s">
        <x:v>244</x:v>
      </x:c>
      <x:c r="D150" s="13" t="s">
        <x:v>283</x:v>
      </x:c>
      <x:c r="E150" s="10">
        <x:v>996.0</x:v>
      </x:c>
      <x:c r="F150" s="28">
        <x:v>12.16</x:v>
      </x:c>
      <x:c r="G150" s="28">
        <x:v>12111.36</x:v>
      </x:c>
      <x:c r="H150" s="28">
        <x:v>1365.08</x:v>
      </x:c>
      <x:c r="I150" s="28">
        <x:v>6175.2</x:v>
      </x:c>
      <x:c r="J150" s="28">
        <x:v>4571.08</x:v>
      </x:c>
    </x:row>
    <x:row r="151" ht="14.25" customHeight="1">
      <x:c r="A151" s="10">
        <x:v>149.0</x:v>
      </x:c>
      <x:c r="B151" s="13" t="s">
        <x:v>252</x:v>
      </x:c>
      <x:c r="C151" s="13" t="s">
        <x:v>267</x:v>
      </x:c>
      <x:c r="D151" s="13" t="s">
        <x:v>388</x:v>
      </x:c>
      <x:c r="E151" s="10">
        <x:v>1006.0</x:v>
      </x:c>
      <x:c r="F151" s="28">
        <x:v>15.85</x:v>
      </x:c>
      <x:c r="G151" s="28">
        <x:v>15945.1</x:v>
      </x:c>
      <x:c r="H151" s="28">
        <x:v>4750.5</x:v>
      </x:c>
      <x:c r="I151" s="28">
        <x:v>8259.26</x:v>
      </x:c>
      <x:c r="J151" s="28">
        <x:v>2935.34</x:v>
      </x:c>
    </x:row>
    <x:row r="152" ht="14.25" customHeight="1">
      <x:c r="A152" s="10">
        <x:v>150.0</x:v>
      </x:c>
      <x:c r="B152" s="13" t="s">
        <x:v>255</x:v>
      </x:c>
      <x:c r="C152" s="13" t="s">
        <x:v>261</x:v>
      </x:c>
      <x:c r="D152" s="13" t="s">
        <x:v>389</x:v>
      </x:c>
      <x:c r="E152" s="10">
        <x:v>1283.0</x:v>
      </x:c>
      <x:c r="F152" s="28">
        <x:v>12.78</x:v>
      </x:c>
      <x:c r="G152" s="28">
        <x:v>16396.74</x:v>
      </x:c>
      <x:c r="H152" s="28">
        <x:v>4426.51</x:v>
      </x:c>
      <x:c r="I152" s="28">
        <x:v>8224.03</x:v>
      </x:c>
      <x:c r="J152" s="28">
        <x:v>3746.2</x:v>
      </x:c>
    </x:row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J1"/>
  </x:mergeCells>
  <x:pageMargins left="0.7" right="0.7" top="0.75" bottom="0.75" header="0.3" footer="0.3"/>
</x:worksheet>
</file>